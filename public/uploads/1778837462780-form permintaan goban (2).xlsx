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zzy\Downloads\"/>
    </mc:Choice>
  </mc:AlternateContent>
  <xr:revisionPtr revIDLastSave="0" documentId="13_ncr:1_{E0E3399F-ADD4-4706-87D4-7F88B7FF1E3F}" xr6:coauthVersionLast="45" xr6:coauthVersionMax="47" xr10:uidLastSave="{00000000-0000-0000-0000-000000000000}"/>
  <bookViews>
    <workbookView xWindow="-120" yWindow="-120" windowWidth="20730" windowHeight="11160" tabRatio="891" firstSheet="1" activeTab="10" xr2:uid="{9A88E8B3-A932-4C6A-936E-EC7EAFCD3278}"/>
  </bookViews>
  <sheets>
    <sheet name="form permintaan dana goban" sheetId="3" r:id="rId1"/>
    <sheet name="form permintaan dana goban (2)" sheetId="5" r:id="rId2"/>
    <sheet name="tgl 22" sheetId="8" r:id="rId3"/>
    <sheet name="tgl 23_x0009_" sheetId="9" r:id="rId4"/>
    <sheet name="tgl 24" sheetId="10" r:id="rId5"/>
    <sheet name="tgl 25" sheetId="11" r:id="rId6"/>
    <sheet name="tgl27-28" sheetId="12" r:id="rId7"/>
    <sheet name="tgl 29" sheetId="13" r:id="rId8"/>
    <sheet name="tgl 30" sheetId="7" r:id="rId9"/>
    <sheet name="Sheet3" sheetId="6" r:id="rId10"/>
    <sheet name="3 apr" sheetId="1" r:id="rId11"/>
    <sheet name="Sheet2" sheetId="2" r:id="rId12"/>
    <sheet name="Sheet1" sheetId="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8" i="7" l="1"/>
  <c r="N29" i="7"/>
  <c r="N28" i="7"/>
  <c r="N27" i="7"/>
  <c r="N26" i="7"/>
  <c r="N25" i="7"/>
  <c r="N24" i="7"/>
  <c r="N23" i="7"/>
  <c r="N22" i="7"/>
  <c r="N19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H4" i="7"/>
  <c r="N32" i="12"/>
  <c r="N31" i="12"/>
  <c r="N30" i="12"/>
  <c r="N29" i="12"/>
  <c r="N28" i="12"/>
  <c r="N27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N9" i="12"/>
  <c r="N8" i="12"/>
  <c r="N7" i="12"/>
  <c r="N6" i="12"/>
  <c r="N5" i="12"/>
  <c r="H4" i="12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H4" i="11"/>
  <c r="N32" i="10"/>
  <c r="N23" i="8"/>
  <c r="N24" i="8"/>
  <c r="N31" i="10"/>
  <c r="N30" i="10"/>
  <c r="N29" i="10"/>
  <c r="N28" i="10"/>
  <c r="N27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H4" i="10"/>
  <c r="N29" i="9"/>
  <c r="N28" i="9"/>
  <c r="N27" i="9"/>
  <c r="N26" i="9"/>
  <c r="N25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N7" i="9"/>
  <c r="N6" i="9"/>
  <c r="N5" i="9"/>
  <c r="N4" i="9"/>
  <c r="N3" i="9"/>
  <c r="N1" i="9" s="1"/>
  <c r="H8" i="9" s="1"/>
  <c r="H2" i="9"/>
  <c r="N31" i="8"/>
  <c r="N30" i="8"/>
  <c r="N29" i="8"/>
  <c r="N28" i="8"/>
  <c r="N25" i="8" s="1"/>
  <c r="H12" i="8" s="1"/>
  <c r="N27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H4" i="8"/>
  <c r="O28" i="5"/>
  <c r="O29" i="5"/>
  <c r="O30" i="5"/>
  <c r="O31" i="5"/>
  <c r="O27" i="5"/>
  <c r="O22" i="5"/>
  <c r="N3" i="8" l="1"/>
  <c r="H10" i="8" s="1"/>
  <c r="H15" i="8" s="1"/>
  <c r="C6" i="8" s="1"/>
  <c r="N23" i="9"/>
  <c r="H10" i="9" s="1"/>
  <c r="N3" i="7"/>
  <c r="H10" i="7" s="1"/>
  <c r="N20" i="7"/>
  <c r="H12" i="7" s="1"/>
  <c r="N25" i="12"/>
  <c r="H12" i="12" s="1"/>
  <c r="N3" i="12"/>
  <c r="H10" i="12" s="1"/>
  <c r="N3" i="11"/>
  <c r="H10" i="11" s="1"/>
  <c r="H15" i="11" s="1"/>
  <c r="C6" i="11" s="1"/>
  <c r="N25" i="10"/>
  <c r="H12" i="10" s="1"/>
  <c r="N3" i="10"/>
  <c r="H10" i="10" s="1"/>
  <c r="H13" i="9"/>
  <c r="C4" i="9" s="1"/>
  <c r="O24" i="5"/>
  <c r="O23" i="5"/>
  <c r="O20" i="5"/>
  <c r="F20" i="6"/>
  <c r="H15" i="7" l="1"/>
  <c r="C6" i="7" s="1"/>
  <c r="H15" i="12"/>
  <c r="C6" i="12" s="1"/>
  <c r="H15" i="10"/>
  <c r="C6" i="10" s="1"/>
  <c r="F19" i="6"/>
  <c r="F18" i="6"/>
  <c r="F6" i="6"/>
  <c r="F7" i="6"/>
  <c r="F8" i="6"/>
  <c r="F9" i="6"/>
  <c r="F10" i="6"/>
  <c r="F11" i="6"/>
  <c r="F12" i="6"/>
  <c r="F13" i="6"/>
  <c r="F14" i="6"/>
  <c r="F15" i="6"/>
  <c r="F16" i="6"/>
  <c r="F17" i="6"/>
  <c r="F5" i="6"/>
  <c r="F3" i="6" l="1"/>
  <c r="O13" i="5" l="1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 l="1"/>
  <c r="O21" i="5" l="1"/>
  <c r="O19" i="5"/>
  <c r="O18" i="5"/>
  <c r="O17" i="5"/>
  <c r="O16" i="5"/>
  <c r="O7" i="5"/>
  <c r="O15" i="5" l="1"/>
  <c r="O14" i="5"/>
  <c r="O12" i="5"/>
  <c r="O11" i="5"/>
  <c r="O10" i="5"/>
  <c r="O9" i="5"/>
  <c r="O8" i="5"/>
  <c r="O6" i="5"/>
  <c r="O5" i="5"/>
  <c r="I4" i="5"/>
  <c r="O3" i="5" l="1"/>
  <c r="I10" i="5" s="1"/>
  <c r="O25" i="5"/>
  <c r="I12" i="5" s="1"/>
  <c r="O18" i="3"/>
  <c r="I15" i="5" l="1"/>
  <c r="D6" i="5" s="1"/>
  <c r="O24" i="3"/>
  <c r="O25" i="3"/>
  <c r="O26" i="3"/>
  <c r="O27" i="3"/>
  <c r="O28" i="3"/>
  <c r="O23" i="3"/>
  <c r="O17" i="3"/>
  <c r="O21" i="3" l="1"/>
  <c r="I13" i="3" s="1"/>
  <c r="O6" i="3"/>
  <c r="O7" i="3"/>
  <c r="O8" i="3"/>
  <c r="O9" i="3"/>
  <c r="O10" i="3"/>
  <c r="O11" i="3"/>
  <c r="O12" i="3"/>
  <c r="O13" i="3"/>
  <c r="O14" i="3"/>
  <c r="O15" i="3"/>
  <c r="O16" i="3"/>
  <c r="Q27" i="1"/>
  <c r="O5" i="3" l="1"/>
  <c r="O3" i="3" s="1"/>
  <c r="I10" i="3" l="1"/>
  <c r="I4" i="3"/>
  <c r="I16" i="3" l="1"/>
  <c r="D6" i="3" s="1"/>
  <c r="O38" i="1"/>
  <c r="Q38" i="1" s="1"/>
  <c r="O37" i="1"/>
  <c r="Q37" i="1" s="1"/>
  <c r="O36" i="1"/>
  <c r="O35" i="1"/>
  <c r="Q35" i="1" s="1"/>
  <c r="O34" i="1"/>
  <c r="Q34" i="1" s="1"/>
  <c r="O33" i="1"/>
  <c r="Q33" i="1" s="1"/>
  <c r="O32" i="1"/>
  <c r="Q32" i="1" s="1"/>
  <c r="O31" i="1"/>
  <c r="Q31" i="1" s="1"/>
  <c r="O30" i="1"/>
  <c r="Q30" i="1" s="1"/>
  <c r="I16" i="1"/>
  <c r="D6" i="1" s="1"/>
  <c r="S4" i="2"/>
  <c r="U4" i="2" s="1"/>
  <c r="S5" i="2"/>
  <c r="U5" i="2" s="1"/>
  <c r="S6" i="2"/>
  <c r="U6" i="2" s="1"/>
  <c r="S7" i="2"/>
  <c r="U7" i="2" s="1"/>
  <c r="S8" i="2"/>
  <c r="U8" i="2" s="1"/>
  <c r="S9" i="2"/>
  <c r="S10" i="2"/>
  <c r="U10" i="2" s="1"/>
  <c r="S11" i="2"/>
  <c r="U11" i="2" s="1"/>
  <c r="U3" i="2"/>
  <c r="S3" i="2"/>
  <c r="G7" i="2"/>
  <c r="J4" i="2"/>
  <c r="L4" i="2" s="1"/>
  <c r="J5" i="2"/>
  <c r="L5" i="2" s="1"/>
  <c r="J6" i="2"/>
  <c r="L6" i="2" s="1"/>
  <c r="J7" i="2"/>
  <c r="L7" i="2" s="1"/>
  <c r="J8" i="2"/>
  <c r="J9" i="2"/>
  <c r="L9" i="2" s="1"/>
  <c r="J10" i="2"/>
  <c r="L10" i="2" s="1"/>
  <c r="J11" i="2"/>
  <c r="L11" i="2" s="1"/>
  <c r="J12" i="2"/>
  <c r="L12" i="2" s="1"/>
  <c r="J13" i="2"/>
  <c r="L13" i="2" s="1"/>
  <c r="J14" i="2"/>
  <c r="L14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J24" i="2"/>
  <c r="L24" i="2" s="1"/>
  <c r="J25" i="2"/>
  <c r="L25" i="2" s="1"/>
  <c r="J3" i="2"/>
  <c r="Q39" i="1" l="1"/>
  <c r="U2" i="2"/>
  <c r="L1" i="2"/>
</calcChain>
</file>

<file path=xl/sharedStrings.xml><?xml version="1.0" encoding="utf-8"?>
<sst xmlns="http://schemas.openxmlformats.org/spreadsheetml/2006/main" count="916" uniqueCount="255">
  <si>
    <t>NO</t>
  </si>
  <si>
    <t>NAMA</t>
  </si>
  <si>
    <t>Yuthi Millatina silmi</t>
  </si>
  <si>
    <t>TANGGAL</t>
  </si>
  <si>
    <t>DEPARTEMEN</t>
  </si>
  <si>
    <t>DPK APPAREL</t>
  </si>
  <si>
    <t>JUMLAH</t>
  </si>
  <si>
    <t>DESKRIPSI</t>
  </si>
  <si>
    <t>Total</t>
  </si>
  <si>
    <t>NO REK BCA : 139 409 2889 an / Yuthi Millatina Silmi</t>
  </si>
  <si>
    <t>DIBUAT OLEH</t>
  </si>
  <si>
    <t>DIKETAHUI</t>
  </si>
  <si>
    <t>DISETUJUI</t>
  </si>
  <si>
    <t>( Yuthi Millatina )</t>
  </si>
  <si>
    <t>( Mick Douny  )</t>
  </si>
  <si>
    <t>( Adi Dwifana S )</t>
  </si>
  <si>
    <t>MINYAK KELAPA</t>
  </si>
  <si>
    <t>POUCH</t>
  </si>
  <si>
    <t>QTY</t>
  </si>
  <si>
    <t>TERIGU</t>
  </si>
  <si>
    <t>kg</t>
  </si>
  <si>
    <t>MAIZEN</t>
  </si>
  <si>
    <t>BIAYA HARIAN 3 gerobak</t>
  </si>
  <si>
    <t>ladaku</t>
  </si>
  <si>
    <t>renceng</t>
  </si>
  <si>
    <t>bihun</t>
  </si>
  <si>
    <t>bungkus</t>
  </si>
  <si>
    <t>sasa micin</t>
  </si>
  <si>
    <t>aci</t>
  </si>
  <si>
    <t>tepung beras</t>
  </si>
  <si>
    <t>bp hercules</t>
  </si>
  <si>
    <t>pack</t>
  </si>
  <si>
    <t>kertas gorengan kecil</t>
  </si>
  <si>
    <t>kertas gorengan besar</t>
  </si>
  <si>
    <t>keju</t>
  </si>
  <si>
    <t>ketumbar</t>
  </si>
  <si>
    <t>bawang putih bubuk</t>
  </si>
  <si>
    <t>gas lpg</t>
  </si>
  <si>
    <t>tabung</t>
  </si>
  <si>
    <t>TEPUNG TERIGU</t>
  </si>
  <si>
    <t>KOL</t>
  </si>
  <si>
    <t>WORTEL</t>
  </si>
  <si>
    <t>BAWANG DAUN</t>
  </si>
  <si>
    <t>TEMPE</t>
  </si>
  <si>
    <t>TAHU</t>
  </si>
  <si>
    <t>PISANG</t>
  </si>
  <si>
    <t>KEJU</t>
  </si>
  <si>
    <t>KULIT LUMPIA</t>
  </si>
  <si>
    <t>CENGEK HIJAU</t>
  </si>
  <si>
    <t>CENGEK MERAH</t>
  </si>
  <si>
    <t>CIKUR</t>
  </si>
  <si>
    <t>BIHUN</t>
  </si>
  <si>
    <t>SLEDRI</t>
  </si>
  <si>
    <t>TEPUNG ACI</t>
  </si>
  <si>
    <t>TEPUNG BERAS</t>
  </si>
  <si>
    <t>MEIZENA</t>
  </si>
  <si>
    <t>GAS</t>
  </si>
  <si>
    <t>pouch</t>
  </si>
  <si>
    <t>pac</t>
  </si>
  <si>
    <t>gram</t>
  </si>
  <si>
    <t>BAWANG PUTIH BUBUK</t>
  </si>
  <si>
    <t>GARAM</t>
  </si>
  <si>
    <t>ROYCO</t>
  </si>
  <si>
    <t>SASA MICIN</t>
  </si>
  <si>
    <t>PEDES BUBUK</t>
  </si>
  <si>
    <t>KETUMBAR BUBUK</t>
  </si>
  <si>
    <t>GULA PUTIH</t>
  </si>
  <si>
    <t>BAKING POWDER</t>
  </si>
  <si>
    <t>KERESEK KECIL UK 15</t>
  </si>
  <si>
    <t>KERESEK BESAR UK 24</t>
  </si>
  <si>
    <t>pcs</t>
  </si>
  <si>
    <t>KERTAS GORENGAN BESAR</t>
  </si>
  <si>
    <t>TABUNG</t>
  </si>
  <si>
    <t>PACK</t>
  </si>
  <si>
    <t>KERTAS GORENGAN kecil</t>
  </si>
  <si>
    <t>BAHAN BAKU KERINGAN</t>
  </si>
  <si>
    <t>3 KARTON</t>
  </si>
  <si>
    <t>1 KARUNG</t>
  </si>
  <si>
    <t>3 PACK</t>
  </si>
  <si>
    <t>120 PACK</t>
  </si>
  <si>
    <t>1 KG</t>
  </si>
  <si>
    <t>1 BALL</t>
  </si>
  <si>
    <t>3 KG</t>
  </si>
  <si>
    <t>3 TABUNG</t>
  </si>
  <si>
    <t>3 RENCENG</t>
  </si>
  <si>
    <t>2 KG</t>
  </si>
  <si>
    <t>3 KALENG</t>
  </si>
  <si>
    <t>KG</t>
  </si>
  <si>
    <t>PAPAN</t>
  </si>
  <si>
    <t>PCS</t>
  </si>
  <si>
    <t>21 KG</t>
  </si>
  <si>
    <t>6 KG</t>
  </si>
  <si>
    <t>15 PAPAN</t>
  </si>
  <si>
    <t>429 PCS</t>
  </si>
  <si>
    <t>5.4 KG</t>
  </si>
  <si>
    <t>1.5 KG</t>
  </si>
  <si>
    <t>0.500 GRAM</t>
  </si>
  <si>
    <t>Bahan Baku Keringan</t>
  </si>
  <si>
    <t>Bahan Baku Sayuran</t>
  </si>
  <si>
    <t>Biaya Operasional Lainnya</t>
  </si>
  <si>
    <t>QTY HARIAN</t>
  </si>
  <si>
    <t>SATUAN</t>
  </si>
  <si>
    <t>HARGA SATYAB</t>
  </si>
  <si>
    <t>TOTAL</t>
  </si>
  <si>
    <t>TOTAL 3 HARI</t>
  </si>
  <si>
    <t>NAMA ITEM</t>
  </si>
  <si>
    <t>JML HARI</t>
  </si>
  <si>
    <t>REN. BELI</t>
  </si>
  <si>
    <t>BAHAN BAKU SAYURAN</t>
  </si>
  <si>
    <t>FORMULIR PERMINTAAN DANA PEMBELANJAAN GOBAN</t>
  </si>
  <si>
    <t>Etimasi Pembelanjaan untuk 3 Hari</t>
  </si>
  <si>
    <t xml:space="preserve">Pembelanjaan untuk 1 Hari </t>
  </si>
  <si>
    <t>Pembayaran Tenan cabang regol (tambahan lapak roti bakar)</t>
  </si>
  <si>
    <t>Pembelian Bahan Baku Gorengan (16 Apr 26)</t>
  </si>
  <si>
    <t>Pembelian Bahan Baku Roti Bakar</t>
  </si>
  <si>
    <t>kol</t>
  </si>
  <si>
    <t>qty</t>
  </si>
  <si>
    <t>harga</t>
  </si>
  <si>
    <t>Wortel</t>
  </si>
  <si>
    <t>Kg</t>
  </si>
  <si>
    <t>Tahu</t>
  </si>
  <si>
    <t>Tempe</t>
  </si>
  <si>
    <t>Cengek Merah</t>
  </si>
  <si>
    <t>minyak</t>
  </si>
  <si>
    <t>Karton</t>
  </si>
  <si>
    <t>Ubi</t>
  </si>
  <si>
    <t>Cikur</t>
  </si>
  <si>
    <t>Cireng</t>
  </si>
  <si>
    <t>Sasa Micin</t>
  </si>
  <si>
    <t>Garam</t>
  </si>
  <si>
    <t>Bahan Baku Goregan</t>
  </si>
  <si>
    <t>Bahan Baku Roti Bakar</t>
  </si>
  <si>
    <t>Roti</t>
  </si>
  <si>
    <t>Susu Kental Manis</t>
  </si>
  <si>
    <t>Keju</t>
  </si>
  <si>
    <t>Coklat Seres</t>
  </si>
  <si>
    <t>Margarin</t>
  </si>
  <si>
    <t>kaleng</t>
  </si>
  <si>
    <t>Sarung Tangan Plastik</t>
  </si>
  <si>
    <t>No</t>
  </si>
  <si>
    <t>Item</t>
  </si>
  <si>
    <t>Qty</t>
  </si>
  <si>
    <t>Harga Satuan</t>
  </si>
  <si>
    <t>Parkir</t>
  </si>
  <si>
    <t>-</t>
  </si>
  <si>
    <t>Kol</t>
  </si>
  <si>
    <t>Tisu</t>
  </si>
  <si>
    <t>Cengek</t>
  </si>
  <si>
    <t>Toge</t>
  </si>
  <si>
    <t>2 kg</t>
  </si>
  <si>
    <t>Pisang</t>
  </si>
  <si>
    <t>Terigu Segi</t>
  </si>
  <si>
    <t>Apung</t>
  </si>
  <si>
    <t>B. daun</t>
  </si>
  <si>
    <t>Damsin</t>
  </si>
  <si>
    <t>Kresek</t>
  </si>
  <si>
    <t>(Item)</t>
  </si>
  <si>
    <t>Kertas gorengan</t>
  </si>
  <si>
    <t>SISA UANG ROTI 129.000</t>
  </si>
  <si>
    <t>Bawang Daun</t>
  </si>
  <si>
    <t>Meizena</t>
  </si>
  <si>
    <t>Bp Hercules</t>
  </si>
  <si>
    <t>Kaleng</t>
  </si>
  <si>
    <t>Ladaku</t>
  </si>
  <si>
    <t>Bawang Putih Bubuk</t>
  </si>
  <si>
    <t>papan</t>
  </si>
  <si>
    <t>cengek merah</t>
  </si>
  <si>
    <t>pisang</t>
  </si>
  <si>
    <t>Keresek Kecil</t>
  </si>
  <si>
    <t>Keresek Besar</t>
  </si>
  <si>
    <t>Kertas Goregan Kecil</t>
  </si>
  <si>
    <t>Kertas Goregan Besar</t>
  </si>
  <si>
    <t>Terigu Segiiga</t>
  </si>
  <si>
    <t>Minyak2L</t>
  </si>
  <si>
    <t>bensin</t>
  </si>
  <si>
    <t>sunlight</t>
  </si>
  <si>
    <t>ubi</t>
  </si>
  <si>
    <t>PEMBELIANAAN GOBAN</t>
  </si>
  <si>
    <t>HARGA</t>
  </si>
  <si>
    <t>GRAM</t>
  </si>
  <si>
    <t>TOGE</t>
  </si>
  <si>
    <t>CIRENG</t>
  </si>
  <si>
    <t>UBI</t>
  </si>
  <si>
    <t>MINYAK</t>
  </si>
  <si>
    <t>BP BUBUK</t>
  </si>
  <si>
    <t>RENCENG</t>
  </si>
  <si>
    <t>LADAKU</t>
  </si>
  <si>
    <t>BENSIN</t>
  </si>
  <si>
    <t>karton</t>
  </si>
  <si>
    <t>SUNLIGHT</t>
  </si>
  <si>
    <t>wotel</t>
  </si>
  <si>
    <t>b daun</t>
  </si>
  <si>
    <t>seledri</t>
  </si>
  <si>
    <t>cireng</t>
  </si>
  <si>
    <t>cikur</t>
  </si>
  <si>
    <t>isi</t>
  </si>
  <si>
    <t>NO REK BCA : 8100 9284 43  an / Dicky Febrian</t>
  </si>
  <si>
    <t>( Dicky Febrian )</t>
  </si>
  <si>
    <t>FORMULIR PERMINTAAN DANA PEMBELANJAAN JERSEY</t>
  </si>
  <si>
    <t>kresek 15</t>
  </si>
  <si>
    <t>kresek 24</t>
  </si>
  <si>
    <t>px</t>
  </si>
  <si>
    <t>nota</t>
  </si>
  <si>
    <t>Pembelian Bahan Baku Gorengan 1 hari tanggal 22</t>
  </si>
  <si>
    <t>Pembelian Bahan Baku Roti Bakar 1 hari tanggal 22</t>
  </si>
  <si>
    <t>Dicky Febrian</t>
  </si>
  <si>
    <t>konteiner box</t>
  </si>
  <si>
    <t>sapulidi kawung</t>
  </si>
  <si>
    <t>sapu plastik</t>
  </si>
  <si>
    <t>pengki dragon</t>
  </si>
  <si>
    <t>hercules</t>
  </si>
  <si>
    <t>Pembelian Bahan Baku Gorengan 1 hari tanggal 24</t>
  </si>
  <si>
    <t>Pembelian Bahan Baku Roti Bakar 1 hari tanggal 24</t>
  </si>
  <si>
    <t>wortel</t>
  </si>
  <si>
    <t>tahu</t>
  </si>
  <si>
    <t>micin</t>
  </si>
  <si>
    <t>kresek</t>
  </si>
  <si>
    <t>b putih</t>
  </si>
  <si>
    <t>konteiner box besar</t>
  </si>
  <si>
    <t xml:space="preserve">Roti </t>
  </si>
  <si>
    <t>susu</t>
  </si>
  <si>
    <t>blueberry</t>
  </si>
  <si>
    <t>Pembelian Bahan Baku Gorengan 1 hari tanggal 25</t>
  </si>
  <si>
    <t>sledri</t>
  </si>
  <si>
    <t>maizena</t>
  </si>
  <si>
    <t>tb segitiga</t>
  </si>
  <si>
    <t>serutan</t>
  </si>
  <si>
    <t>gula p</t>
  </si>
  <si>
    <t>Pembelian Bahan Baku Gorengan 2 hari tanggal 28-29</t>
  </si>
  <si>
    <t>tempe</t>
  </si>
  <si>
    <t>toge</t>
  </si>
  <si>
    <t>cengek</t>
  </si>
  <si>
    <t>kencur</t>
  </si>
  <si>
    <t xml:space="preserve">minyak </t>
  </si>
  <si>
    <t>coklat</t>
  </si>
  <si>
    <t>mentega</t>
  </si>
  <si>
    <t>kadet</t>
  </si>
  <si>
    <t>kasino</t>
  </si>
  <si>
    <t>Pembelanjaan untuk 1-2 Hari bahan gorengan</t>
  </si>
  <si>
    <t>Pembelian Bahan Baku Roti Bakar 28</t>
  </si>
  <si>
    <t>GOBAN</t>
  </si>
  <si>
    <t>Pembelian Bahan Baku Gorengan 1 hari tanggal 1/5/26</t>
  </si>
  <si>
    <t>Minyak</t>
  </si>
  <si>
    <t>Kresek u 24</t>
  </si>
  <si>
    <t>Kresek u 15</t>
  </si>
  <si>
    <t>Sapu Lidi</t>
  </si>
  <si>
    <t>Uang Bensin</t>
  </si>
  <si>
    <t>liter</t>
  </si>
  <si>
    <t>Admin Bank</t>
  </si>
  <si>
    <t>Uang Parkir</t>
  </si>
  <si>
    <t>tf</t>
  </si>
  <si>
    <t>lokasi</t>
  </si>
  <si>
    <t xml:space="preserve">Yoga </t>
  </si>
  <si>
    <t>( Yoga )</t>
  </si>
  <si>
    <t>NO REK BCA : 1320028507425  an / 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</si>
</sst>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@* &quot;:&quot;"/>
    <numFmt numFmtId="166" formatCode="dd/mm/yyyy;@"/>
    <numFmt numFmtId="167" formatCode="_(* #,##0_);_(* \(#,##0\);_(* &quot;-&quot;??_);_(@_)"/>
    <numFmt numFmtId="168" formatCode="_(* #,##0.0000_);_(* \(#,##0.00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left"/>
    </xf>
    <xf numFmtId="166" fontId="3" fillId="0" borderId="0" xfId="0" applyNumberFormat="1" applyFont="1" applyAlignment="1">
      <alignment horizontal="center"/>
    </xf>
    <xf numFmtId="164" fontId="0" fillId="0" borderId="0" xfId="1" applyFont="1"/>
    <xf numFmtId="43" fontId="3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2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1" applyFon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5" xfId="0" applyBorder="1"/>
    <xf numFmtId="164" fontId="3" fillId="0" borderId="5" xfId="1" applyFont="1" applyBorder="1"/>
    <xf numFmtId="0" fontId="3" fillId="0" borderId="0" xfId="0" applyFont="1" applyAlignment="1">
      <alignment horizontal="left"/>
    </xf>
    <xf numFmtId="0" fontId="3" fillId="3" borderId="0" xfId="0" applyFont="1" applyFill="1"/>
    <xf numFmtId="0" fontId="0" fillId="3" borderId="0" xfId="0" applyFill="1"/>
    <xf numFmtId="164" fontId="0" fillId="0" borderId="0" xfId="0" applyNumberFormat="1"/>
    <xf numFmtId="164" fontId="3" fillId="0" borderId="0" xfId="0" applyNumberFormat="1" applyFont="1"/>
    <xf numFmtId="167" fontId="0" fillId="0" borderId="0" xfId="1" applyNumberFormat="1" applyFont="1"/>
    <xf numFmtId="167" fontId="0" fillId="0" borderId="0" xfId="0" applyNumberFormat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167" fontId="3" fillId="4" borderId="0" xfId="1" applyNumberFormat="1" applyFont="1" applyFill="1"/>
    <xf numFmtId="167" fontId="3" fillId="4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left" indent="1"/>
    </xf>
    <xf numFmtId="0" fontId="3" fillId="4" borderId="0" xfId="0" applyFont="1" applyFill="1" applyAlignment="1">
      <alignment horizontal="left" indent="1"/>
    </xf>
    <xf numFmtId="0" fontId="0" fillId="0" borderId="1" xfId="0" applyBorder="1"/>
    <xf numFmtId="167" fontId="0" fillId="0" borderId="1" xfId="1" applyNumberFormat="1" applyFont="1" applyBorder="1"/>
    <xf numFmtId="0" fontId="3" fillId="4" borderId="1" xfId="0" applyFont="1" applyFill="1" applyBorder="1" applyAlignment="1">
      <alignment horizontal="center" vertical="center"/>
    </xf>
    <xf numFmtId="167" fontId="3" fillId="4" borderId="1" xfId="1" applyNumberFormat="1" applyFont="1" applyFill="1" applyBorder="1" applyAlignment="1">
      <alignment horizontal="center" vertical="center"/>
    </xf>
    <xf numFmtId="0" fontId="3" fillId="3" borderId="6" xfId="0" applyFont="1" applyFill="1" applyBorder="1"/>
    <xf numFmtId="0" fontId="3" fillId="4" borderId="9" xfId="0" applyFont="1" applyFill="1" applyBorder="1"/>
    <xf numFmtId="167" fontId="3" fillId="4" borderId="10" xfId="1" applyNumberFormat="1" applyFont="1" applyFill="1" applyBorder="1" applyAlignment="1">
      <alignment horizontal="center" vertical="center"/>
    </xf>
    <xf numFmtId="0" fontId="0" fillId="0" borderId="9" xfId="0" applyBorder="1"/>
    <xf numFmtId="167" fontId="0" fillId="0" borderId="10" xfId="1" applyNumberFormat="1" applyFont="1" applyBorder="1"/>
    <xf numFmtId="0" fontId="0" fillId="0" borderId="11" xfId="0" applyBorder="1"/>
    <xf numFmtId="0" fontId="0" fillId="0" borderId="12" xfId="0" applyBorder="1" applyAlignment="1">
      <alignment horizontal="center"/>
    </xf>
    <xf numFmtId="167" fontId="0" fillId="0" borderId="12" xfId="1" applyNumberFormat="1" applyFont="1" applyBorder="1"/>
    <xf numFmtId="167" fontId="0" fillId="0" borderId="13" xfId="1" applyNumberFormat="1" applyFont="1" applyBorder="1"/>
    <xf numFmtId="167" fontId="3" fillId="5" borderId="8" xfId="1" applyNumberFormat="1" applyFont="1" applyFill="1" applyBorder="1" applyAlignment="1">
      <alignment vertical="center"/>
    </xf>
    <xf numFmtId="16" fontId="0" fillId="0" borderId="0" xfId="0" applyNumberFormat="1"/>
    <xf numFmtId="0" fontId="0" fillId="0" borderId="14" xfId="0" applyBorder="1"/>
    <xf numFmtId="0" fontId="0" fillId="0" borderId="15" xfId="0" applyBorder="1" applyAlignment="1">
      <alignment horizontal="center"/>
    </xf>
    <xf numFmtId="167" fontId="0" fillId="0" borderId="15" xfId="1" applyNumberFormat="1" applyFont="1" applyBorder="1"/>
    <xf numFmtId="167" fontId="0" fillId="0" borderId="16" xfId="1" applyNumberFormat="1" applyFont="1" applyBorder="1"/>
    <xf numFmtId="0" fontId="3" fillId="6" borderId="0" xfId="0" applyFont="1" applyFill="1" applyAlignment="1">
      <alignment horizontal="center"/>
    </xf>
    <xf numFmtId="0" fontId="3" fillId="0" borderId="0" xfId="0" applyFont="1"/>
    <xf numFmtId="168" fontId="0" fillId="0" borderId="0" xfId="1" applyNumberFormat="1" applyFont="1" applyAlignment="1">
      <alignment horizontal="center"/>
    </xf>
    <xf numFmtId="168" fontId="3" fillId="6" borderId="0" xfId="1" applyNumberFormat="1" applyFont="1" applyFill="1" applyAlignment="1">
      <alignment horizontal="center"/>
    </xf>
    <xf numFmtId="164" fontId="0" fillId="0" borderId="0" xfId="1" applyFont="1" applyAlignment="1">
      <alignment horizontal="center"/>
    </xf>
    <xf numFmtId="164" fontId="3" fillId="6" borderId="0" xfId="1" applyFont="1" applyFill="1" applyAlignment="1">
      <alignment horizontal="center"/>
    </xf>
    <xf numFmtId="0" fontId="3" fillId="3" borderId="17" xfId="0" applyFont="1" applyFill="1" applyBorder="1"/>
    <xf numFmtId="167" fontId="3" fillId="5" borderId="18" xfId="1" applyNumberFormat="1" applyFont="1" applyFill="1" applyBorder="1" applyAlignment="1">
      <alignment vertical="center"/>
    </xf>
    <xf numFmtId="167" fontId="3" fillId="4" borderId="7" xfId="1" applyNumberFormat="1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167" fontId="3" fillId="4" borderId="5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16</xdr:col>
      <xdr:colOff>126880</xdr:colOff>
      <xdr:row>36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9A5629-542A-E9FF-63E4-A16F244A5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5"/>
          <a:ext cx="9880480" cy="6915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4F549-FAA4-4146-81B3-327963C6A838}">
  <dimension ref="B2:P49"/>
  <sheetViews>
    <sheetView showGridLines="0" topLeftCell="B1" workbookViewId="0">
      <selection activeCell="O10" sqref="O10"/>
    </sheetView>
  </sheetViews>
  <sheetFormatPr defaultRowHeight="15" x14ac:dyDescent="0.25"/>
  <cols>
    <col min="1" max="1" width="3" customWidth="1"/>
    <col min="4" max="4" width="13.28515625" bestFit="1" customWidth="1"/>
    <col min="9" max="9" width="16.85546875" customWidth="1"/>
    <col min="10" max="10" width="2.42578125" customWidth="1"/>
    <col min="11" max="11" width="22.5703125" customWidth="1"/>
    <col min="12" max="12" width="12" style="12" customWidth="1"/>
    <col min="13" max="13" width="9.140625" style="12"/>
    <col min="14" max="14" width="11.5703125" style="20" bestFit="1" customWidth="1"/>
    <col min="15" max="15" width="12.5703125" style="20" bestFit="1" customWidth="1"/>
  </cols>
  <sheetData>
    <row r="2" spans="2:16" ht="19.5" thickBot="1" x14ac:dyDescent="0.35">
      <c r="B2" s="58" t="s">
        <v>109</v>
      </c>
      <c r="C2" s="58"/>
      <c r="D2" s="58"/>
      <c r="E2" s="58"/>
      <c r="F2" s="58"/>
      <c r="G2" s="58"/>
      <c r="H2" s="58"/>
      <c r="I2" s="58"/>
    </row>
    <row r="3" spans="2:16" x14ac:dyDescent="0.25">
      <c r="K3" s="33" t="s">
        <v>130</v>
      </c>
      <c r="L3" s="56" t="s">
        <v>101</v>
      </c>
      <c r="M3" s="56"/>
      <c r="N3" s="56"/>
      <c r="O3" s="42">
        <f>SUM(O5:O20)</f>
        <v>756000</v>
      </c>
    </row>
    <row r="4" spans="2:16" x14ac:dyDescent="0.25">
      <c r="B4" s="59" t="s">
        <v>1</v>
      </c>
      <c r="C4" s="59"/>
      <c r="D4" s="1" t="s">
        <v>2</v>
      </c>
      <c r="G4" s="60" t="s">
        <v>3</v>
      </c>
      <c r="H4" s="60"/>
      <c r="I4" s="2">
        <f ca="1">TODAY()</f>
        <v>46147</v>
      </c>
      <c r="K4" s="34" t="s">
        <v>105</v>
      </c>
      <c r="L4" s="31" t="s">
        <v>116</v>
      </c>
      <c r="M4" s="31"/>
      <c r="N4" s="32" t="s">
        <v>117</v>
      </c>
      <c r="O4" s="35" t="s">
        <v>8</v>
      </c>
    </row>
    <row r="5" spans="2:16" x14ac:dyDescent="0.25">
      <c r="B5" s="59" t="s">
        <v>4</v>
      </c>
      <c r="C5" s="59"/>
      <c r="D5" t="s">
        <v>5</v>
      </c>
      <c r="I5" s="3"/>
      <c r="K5" s="36" t="s">
        <v>115</v>
      </c>
      <c r="L5" s="7">
        <v>7</v>
      </c>
      <c r="M5" s="7" t="s">
        <v>20</v>
      </c>
      <c r="N5" s="30">
        <v>8000</v>
      </c>
      <c r="O5" s="37">
        <f>N5*L5</f>
        <v>56000</v>
      </c>
      <c r="P5">
        <v>14000</v>
      </c>
    </row>
    <row r="6" spans="2:16" x14ac:dyDescent="0.25">
      <c r="B6" s="59" t="s">
        <v>6</v>
      </c>
      <c r="C6" s="59"/>
      <c r="D6" s="4">
        <f>I16</f>
        <v>1173000</v>
      </c>
      <c r="I6" s="3"/>
      <c r="K6" s="36" t="s">
        <v>190</v>
      </c>
      <c r="L6" s="7">
        <v>1</v>
      </c>
      <c r="M6" s="7" t="s">
        <v>119</v>
      </c>
      <c r="N6" s="30">
        <v>11000</v>
      </c>
      <c r="O6" s="37">
        <f t="shared" ref="O6:O18" si="0">N6*L6</f>
        <v>11000</v>
      </c>
      <c r="P6">
        <v>3000</v>
      </c>
    </row>
    <row r="7" spans="2:16" x14ac:dyDescent="0.25">
      <c r="B7" s="57" t="s">
        <v>111</v>
      </c>
      <c r="C7" s="57"/>
      <c r="D7" s="57"/>
      <c r="E7" s="57"/>
      <c r="F7" s="57"/>
      <c r="G7" s="57"/>
      <c r="H7" s="57"/>
      <c r="I7" s="57"/>
      <c r="K7" s="36" t="s">
        <v>191</v>
      </c>
      <c r="L7" s="7">
        <v>0.5</v>
      </c>
      <c r="M7" s="7" t="s">
        <v>20</v>
      </c>
      <c r="N7" s="30">
        <v>11000</v>
      </c>
      <c r="O7" s="37">
        <f t="shared" si="0"/>
        <v>5500</v>
      </c>
      <c r="P7">
        <v>500</v>
      </c>
    </row>
    <row r="8" spans="2:16" x14ac:dyDescent="0.25">
      <c r="K8" s="36" t="s">
        <v>192</v>
      </c>
      <c r="L8" s="7">
        <v>0.25</v>
      </c>
      <c r="M8" s="7" t="s">
        <v>119</v>
      </c>
      <c r="N8" s="30">
        <v>10000</v>
      </c>
      <c r="O8" s="37">
        <f t="shared" si="0"/>
        <v>2500</v>
      </c>
      <c r="P8">
        <v>500</v>
      </c>
    </row>
    <row r="9" spans="2:16" x14ac:dyDescent="0.25">
      <c r="B9" s="5" t="s">
        <v>0</v>
      </c>
      <c r="C9" s="62" t="s">
        <v>7</v>
      </c>
      <c r="D9" s="62"/>
      <c r="E9" s="62"/>
      <c r="F9" s="62"/>
      <c r="G9" s="62"/>
      <c r="H9" s="62"/>
      <c r="I9" s="6" t="s">
        <v>6</v>
      </c>
      <c r="K9" s="36" t="s">
        <v>210</v>
      </c>
      <c r="L9" s="7">
        <v>1</v>
      </c>
      <c r="M9" s="7" t="s">
        <v>20</v>
      </c>
      <c r="N9" s="30">
        <v>55000</v>
      </c>
      <c r="O9" s="37">
        <f t="shared" si="0"/>
        <v>55000</v>
      </c>
    </row>
    <row r="10" spans="2:16" x14ac:dyDescent="0.25">
      <c r="B10" s="7">
        <v>1</v>
      </c>
      <c r="C10" s="63" t="s">
        <v>113</v>
      </c>
      <c r="D10" s="64"/>
      <c r="E10" s="64"/>
      <c r="F10" s="64"/>
      <c r="G10" s="64"/>
      <c r="H10" s="65"/>
      <c r="I10" s="8">
        <f>O3</f>
        <v>756000</v>
      </c>
      <c r="K10" s="36" t="s">
        <v>23</v>
      </c>
      <c r="L10" s="7">
        <v>1</v>
      </c>
      <c r="M10" s="7" t="s">
        <v>31</v>
      </c>
      <c r="N10" s="30">
        <v>10000</v>
      </c>
      <c r="O10" s="37">
        <f t="shared" si="0"/>
        <v>10000</v>
      </c>
    </row>
    <row r="11" spans="2:16" x14ac:dyDescent="0.25">
      <c r="B11" s="7">
        <v>2</v>
      </c>
      <c r="C11" s="63" t="s">
        <v>112</v>
      </c>
      <c r="D11" s="64"/>
      <c r="E11" s="64"/>
      <c r="F11" s="64"/>
      <c r="G11" s="64"/>
      <c r="H11" s="65"/>
      <c r="I11" s="8">
        <v>150000</v>
      </c>
      <c r="K11" s="36" t="s">
        <v>122</v>
      </c>
      <c r="L11" s="7">
        <v>0.25</v>
      </c>
      <c r="M11" s="7" t="s">
        <v>59</v>
      </c>
      <c r="N11" s="30">
        <v>92000</v>
      </c>
      <c r="O11" s="37">
        <f t="shared" si="0"/>
        <v>23000</v>
      </c>
    </row>
    <row r="12" spans="2:16" x14ac:dyDescent="0.25">
      <c r="B12" s="7">
        <v>3</v>
      </c>
      <c r="C12" s="63"/>
      <c r="D12" s="64"/>
      <c r="E12" s="64"/>
      <c r="F12" s="64"/>
      <c r="G12" s="64"/>
      <c r="H12" s="65"/>
      <c r="I12" s="8"/>
      <c r="K12" s="36" t="s">
        <v>123</v>
      </c>
      <c r="L12" s="7">
        <v>1</v>
      </c>
      <c r="M12" s="7" t="s">
        <v>124</v>
      </c>
      <c r="N12" s="30">
        <v>270000</v>
      </c>
      <c r="O12" s="37">
        <f t="shared" si="0"/>
        <v>270000</v>
      </c>
    </row>
    <row r="13" spans="2:16" x14ac:dyDescent="0.25">
      <c r="B13" s="7">
        <v>4</v>
      </c>
      <c r="C13" s="9" t="s">
        <v>114</v>
      </c>
      <c r="D13" s="10"/>
      <c r="E13" s="10"/>
      <c r="F13" s="10"/>
      <c r="G13" s="10"/>
      <c r="H13" s="11"/>
      <c r="I13" s="8">
        <f>O21</f>
        <v>267000</v>
      </c>
      <c r="K13" s="36" t="s">
        <v>125</v>
      </c>
      <c r="L13" s="7">
        <v>3</v>
      </c>
      <c r="M13" s="7" t="s">
        <v>119</v>
      </c>
      <c r="N13" s="30">
        <v>80000</v>
      </c>
      <c r="O13" s="37">
        <f t="shared" si="0"/>
        <v>240000</v>
      </c>
    </row>
    <row r="14" spans="2:16" x14ac:dyDescent="0.25">
      <c r="B14" s="7">
        <v>5</v>
      </c>
      <c r="C14" s="9"/>
      <c r="D14" s="10"/>
      <c r="E14" s="10"/>
      <c r="F14" s="10"/>
      <c r="G14" s="10"/>
      <c r="H14" s="11"/>
      <c r="I14" s="8"/>
      <c r="K14" s="36" t="s">
        <v>126</v>
      </c>
      <c r="L14" s="7">
        <v>0.25</v>
      </c>
      <c r="M14" s="7" t="s">
        <v>59</v>
      </c>
      <c r="N14" s="30">
        <v>60000</v>
      </c>
      <c r="O14" s="37">
        <f t="shared" si="0"/>
        <v>15000</v>
      </c>
    </row>
    <row r="15" spans="2:16" x14ac:dyDescent="0.25">
      <c r="B15" s="7">
        <v>6</v>
      </c>
      <c r="C15" s="63"/>
      <c r="D15" s="64"/>
      <c r="E15" s="64"/>
      <c r="F15" s="64"/>
      <c r="G15" s="64"/>
      <c r="H15" s="65"/>
      <c r="I15" s="8"/>
      <c r="K15" s="36" t="s">
        <v>127</v>
      </c>
      <c r="L15" s="7">
        <v>5</v>
      </c>
      <c r="M15" s="7" t="s">
        <v>26</v>
      </c>
      <c r="N15" s="30">
        <v>5000</v>
      </c>
      <c r="O15" s="37">
        <f t="shared" si="0"/>
        <v>25000</v>
      </c>
    </row>
    <row r="16" spans="2:16" x14ac:dyDescent="0.25">
      <c r="B16" s="12"/>
      <c r="H16" s="13" t="s">
        <v>8</v>
      </c>
      <c r="I16" s="14">
        <f>SUM(I10:I15)</f>
        <v>1173000</v>
      </c>
      <c r="K16" s="36" t="s">
        <v>128</v>
      </c>
      <c r="L16" s="7">
        <v>2</v>
      </c>
      <c r="M16" s="7" t="s">
        <v>70</v>
      </c>
      <c r="N16" s="30">
        <v>13000</v>
      </c>
      <c r="O16" s="37">
        <f t="shared" si="0"/>
        <v>26000</v>
      </c>
    </row>
    <row r="17" spans="2:16" x14ac:dyDescent="0.25">
      <c r="I17" s="18"/>
      <c r="K17" s="36" t="s">
        <v>129</v>
      </c>
      <c r="L17" s="7">
        <v>2</v>
      </c>
      <c r="M17" s="7" t="s">
        <v>70</v>
      </c>
      <c r="N17" s="30">
        <v>3000</v>
      </c>
      <c r="O17" s="37">
        <f t="shared" si="0"/>
        <v>6000</v>
      </c>
    </row>
    <row r="18" spans="2:16" x14ac:dyDescent="0.25">
      <c r="B18" s="15" t="s">
        <v>9</v>
      </c>
      <c r="I18" s="3"/>
      <c r="K18" s="36" t="s">
        <v>138</v>
      </c>
      <c r="L18" s="7">
        <v>1</v>
      </c>
      <c r="M18" s="7" t="s">
        <v>31</v>
      </c>
      <c r="N18" s="30">
        <v>11000</v>
      </c>
      <c r="O18" s="37">
        <f t="shared" si="0"/>
        <v>11000</v>
      </c>
    </row>
    <row r="19" spans="2:16" x14ac:dyDescent="0.25">
      <c r="K19" s="36"/>
      <c r="L19" s="7"/>
      <c r="M19" s="7"/>
      <c r="N19" s="30"/>
      <c r="O19" s="37"/>
    </row>
    <row r="20" spans="2:16" ht="15.75" thickBot="1" x14ac:dyDescent="0.3">
      <c r="K20" s="38"/>
      <c r="L20" s="39"/>
      <c r="M20" s="39"/>
      <c r="N20" s="40"/>
      <c r="O20" s="41"/>
    </row>
    <row r="21" spans="2:16" x14ac:dyDescent="0.25">
      <c r="B21" t="s">
        <v>10</v>
      </c>
      <c r="D21" s="61" t="s">
        <v>11</v>
      </c>
      <c r="E21" s="61"/>
      <c r="G21" s="61" t="s">
        <v>12</v>
      </c>
      <c r="H21" s="61"/>
      <c r="K21" s="33" t="s">
        <v>131</v>
      </c>
      <c r="L21" s="56" t="s">
        <v>101</v>
      </c>
      <c r="M21" s="56"/>
      <c r="N21" s="56"/>
      <c r="O21" s="42">
        <f>SUM(O23:O44)</f>
        <v>267000</v>
      </c>
    </row>
    <row r="22" spans="2:16" x14ac:dyDescent="0.25">
      <c r="H22" s="3"/>
      <c r="K22" s="34" t="s">
        <v>105</v>
      </c>
      <c r="L22" s="31" t="s">
        <v>116</v>
      </c>
      <c r="M22" s="31"/>
      <c r="N22" s="32" t="s">
        <v>117</v>
      </c>
      <c r="O22" s="35" t="s">
        <v>8</v>
      </c>
    </row>
    <row r="23" spans="2:16" x14ac:dyDescent="0.25">
      <c r="H23" s="3"/>
      <c r="K23" s="29" t="s">
        <v>132</v>
      </c>
      <c r="L23" s="7">
        <v>20</v>
      </c>
      <c r="M23" s="7" t="s">
        <v>70</v>
      </c>
      <c r="N23" s="30">
        <v>5500</v>
      </c>
      <c r="O23" s="30">
        <f t="shared" ref="O23:O28" si="1">N23*L23</f>
        <v>110000</v>
      </c>
      <c r="P23" t="s">
        <v>158</v>
      </c>
    </row>
    <row r="24" spans="2:16" x14ac:dyDescent="0.25">
      <c r="H24" s="3"/>
      <c r="K24" s="29" t="s">
        <v>133</v>
      </c>
      <c r="L24" s="7">
        <v>2</v>
      </c>
      <c r="M24" s="7" t="s">
        <v>137</v>
      </c>
      <c r="N24" s="30">
        <v>14000</v>
      </c>
      <c r="O24" s="30">
        <f t="shared" si="1"/>
        <v>28000</v>
      </c>
    </row>
    <row r="25" spans="2:16" x14ac:dyDescent="0.25">
      <c r="B25" t="s">
        <v>13</v>
      </c>
      <c r="D25" s="61" t="s">
        <v>14</v>
      </c>
      <c r="E25" s="61"/>
      <c r="G25" s="61" t="s">
        <v>15</v>
      </c>
      <c r="H25" s="61"/>
      <c r="K25" s="29" t="s">
        <v>134</v>
      </c>
      <c r="L25" s="7">
        <v>1</v>
      </c>
      <c r="M25" s="7" t="s">
        <v>70</v>
      </c>
      <c r="N25" s="30">
        <v>52000</v>
      </c>
      <c r="O25" s="30">
        <f t="shared" si="1"/>
        <v>52000</v>
      </c>
    </row>
    <row r="26" spans="2:16" x14ac:dyDescent="0.25">
      <c r="K26" s="29" t="s">
        <v>135</v>
      </c>
      <c r="L26" s="7">
        <v>1</v>
      </c>
      <c r="M26" s="7" t="s">
        <v>20</v>
      </c>
      <c r="N26" s="30">
        <v>49000</v>
      </c>
      <c r="O26" s="30">
        <f t="shared" si="1"/>
        <v>49000</v>
      </c>
    </row>
    <row r="27" spans="2:16" x14ac:dyDescent="0.25">
      <c r="K27" s="29" t="s">
        <v>136</v>
      </c>
      <c r="L27" s="7">
        <v>1</v>
      </c>
      <c r="M27" s="7" t="s">
        <v>20</v>
      </c>
      <c r="N27" s="29">
        <v>28000</v>
      </c>
      <c r="O27" s="30">
        <f t="shared" si="1"/>
        <v>28000</v>
      </c>
    </row>
    <row r="28" spans="2:16" x14ac:dyDescent="0.25">
      <c r="K28" s="29"/>
      <c r="L28" s="29"/>
      <c r="M28" s="7"/>
      <c r="N28" s="29"/>
      <c r="O28" s="30">
        <f t="shared" si="1"/>
        <v>0</v>
      </c>
    </row>
    <row r="29" spans="2:16" x14ac:dyDescent="0.25">
      <c r="L29"/>
      <c r="N29"/>
      <c r="O29"/>
    </row>
    <row r="30" spans="2:16" x14ac:dyDescent="0.25">
      <c r="L30"/>
      <c r="N30"/>
      <c r="O30"/>
    </row>
    <row r="31" spans="2:16" x14ac:dyDescent="0.25">
      <c r="L31"/>
      <c r="N31"/>
      <c r="O31"/>
    </row>
    <row r="32" spans="2:16" x14ac:dyDescent="0.25">
      <c r="L32"/>
      <c r="N32"/>
      <c r="O32"/>
    </row>
    <row r="33" spans="12:15" x14ac:dyDescent="0.25">
      <c r="L33"/>
      <c r="N33"/>
      <c r="O33"/>
    </row>
    <row r="34" spans="12:15" x14ac:dyDescent="0.25">
      <c r="L34"/>
      <c r="N34"/>
      <c r="O34"/>
    </row>
    <row r="35" spans="12:15" x14ac:dyDescent="0.25">
      <c r="L35"/>
      <c r="N35"/>
      <c r="O35"/>
    </row>
    <row r="36" spans="12:15" x14ac:dyDescent="0.25">
      <c r="L36"/>
      <c r="N36"/>
      <c r="O36"/>
    </row>
    <row r="37" spans="12:15" x14ac:dyDescent="0.25">
      <c r="L37"/>
      <c r="N37"/>
      <c r="O37"/>
    </row>
    <row r="38" spans="12:15" x14ac:dyDescent="0.25">
      <c r="L38"/>
      <c r="N38"/>
      <c r="O38"/>
    </row>
    <row r="39" spans="12:15" x14ac:dyDescent="0.25">
      <c r="L39"/>
      <c r="N39"/>
      <c r="O39"/>
    </row>
    <row r="40" spans="12:15" x14ac:dyDescent="0.25">
      <c r="L40"/>
      <c r="N40"/>
      <c r="O40"/>
    </row>
    <row r="41" spans="12:15" x14ac:dyDescent="0.25">
      <c r="L41"/>
      <c r="N41"/>
      <c r="O41"/>
    </row>
    <row r="42" spans="12:15" x14ac:dyDescent="0.25">
      <c r="L42"/>
      <c r="N42"/>
      <c r="O42"/>
    </row>
    <row r="43" spans="12:15" x14ac:dyDescent="0.25">
      <c r="L43"/>
      <c r="N43"/>
      <c r="O43"/>
    </row>
    <row r="44" spans="12:15" x14ac:dyDescent="0.25">
      <c r="L44"/>
      <c r="N44"/>
      <c r="O44"/>
    </row>
    <row r="45" spans="12:15" x14ac:dyDescent="0.25">
      <c r="L45"/>
      <c r="N45"/>
      <c r="O45"/>
    </row>
    <row r="46" spans="12:15" x14ac:dyDescent="0.25">
      <c r="L46"/>
      <c r="N46"/>
      <c r="O46"/>
    </row>
    <row r="47" spans="12:15" x14ac:dyDescent="0.25">
      <c r="L47"/>
      <c r="N47"/>
      <c r="O47"/>
    </row>
    <row r="48" spans="12:15" x14ac:dyDescent="0.25">
      <c r="L48"/>
      <c r="N48"/>
      <c r="O48"/>
    </row>
    <row r="49" spans="12:15" x14ac:dyDescent="0.25">
      <c r="L49"/>
      <c r="N49"/>
      <c r="O49"/>
    </row>
  </sheetData>
  <mergeCells count="17">
    <mergeCell ref="D25:E25"/>
    <mergeCell ref="G25:H25"/>
    <mergeCell ref="C9:H9"/>
    <mergeCell ref="C10:H10"/>
    <mergeCell ref="C11:H11"/>
    <mergeCell ref="C12:H12"/>
    <mergeCell ref="C15:H15"/>
    <mergeCell ref="D21:E21"/>
    <mergeCell ref="G21:H21"/>
    <mergeCell ref="L3:N3"/>
    <mergeCell ref="L21:N21"/>
    <mergeCell ref="B7:I7"/>
    <mergeCell ref="B2:I2"/>
    <mergeCell ref="B4:C4"/>
    <mergeCell ref="G4:H4"/>
    <mergeCell ref="B5:C5"/>
    <mergeCell ref="B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41A71-ABF7-4637-92EE-E9BCBA45ECEB}">
  <dimension ref="B2:U54"/>
  <sheetViews>
    <sheetView showGridLines="0" topLeftCell="F1" workbookViewId="0">
      <selection activeCell="U8" sqref="U8"/>
    </sheetView>
  </sheetViews>
  <sheetFormatPr defaultRowHeight="15" x14ac:dyDescent="0.25"/>
  <cols>
    <col min="1" max="1" width="3" customWidth="1"/>
    <col min="4" max="4" width="13.28515625" bestFit="1" customWidth="1"/>
    <col min="9" max="9" width="16.85546875" customWidth="1"/>
    <col min="10" max="10" width="2.42578125" customWidth="1"/>
    <col min="11" max="11" width="22.5703125" customWidth="1"/>
    <col min="12" max="12" width="12" style="12" customWidth="1"/>
    <col min="13" max="13" width="9.140625" style="12"/>
    <col min="14" max="14" width="11.5703125" style="20" bestFit="1" customWidth="1"/>
    <col min="15" max="15" width="12.5703125" style="20" bestFit="1" customWidth="1"/>
    <col min="21" max="21" width="11.5703125" bestFit="1" customWidth="1"/>
  </cols>
  <sheetData>
    <row r="2" spans="2:21" ht="19.5" thickBot="1" x14ac:dyDescent="0.35">
      <c r="B2" s="58" t="s">
        <v>109</v>
      </c>
      <c r="C2" s="58"/>
      <c r="D2" s="58"/>
      <c r="E2" s="58"/>
      <c r="F2" s="58"/>
      <c r="G2" s="58"/>
      <c r="H2" s="58"/>
      <c r="I2" s="58"/>
    </row>
    <row r="3" spans="2:21" x14ac:dyDescent="0.25">
      <c r="K3" s="33" t="s">
        <v>130</v>
      </c>
      <c r="L3" s="56" t="s">
        <v>101</v>
      </c>
      <c r="M3" s="56"/>
      <c r="N3" s="56"/>
      <c r="O3" s="42">
        <f>SUM(O5:O23)</f>
        <v>840000</v>
      </c>
    </row>
    <row r="4" spans="2:21" x14ac:dyDescent="0.25">
      <c r="B4" s="59" t="s">
        <v>1</v>
      </c>
      <c r="C4" s="59"/>
      <c r="D4" s="1" t="s">
        <v>205</v>
      </c>
      <c r="G4" s="60" t="s">
        <v>3</v>
      </c>
      <c r="H4" s="60"/>
      <c r="I4" s="2">
        <f ca="1">TODAY()</f>
        <v>46147</v>
      </c>
      <c r="K4" s="34" t="s">
        <v>105</v>
      </c>
      <c r="L4" s="31" t="s">
        <v>116</v>
      </c>
      <c r="M4" s="31"/>
      <c r="N4" s="32" t="s">
        <v>117</v>
      </c>
      <c r="O4" s="35" t="s">
        <v>8</v>
      </c>
      <c r="U4" s="3">
        <f>SUM(U5:U25)</f>
        <v>850000</v>
      </c>
    </row>
    <row r="5" spans="2:21" x14ac:dyDescent="0.25">
      <c r="B5" s="59" t="s">
        <v>4</v>
      </c>
      <c r="C5" s="59"/>
      <c r="D5" t="s">
        <v>5</v>
      </c>
      <c r="I5" s="3"/>
      <c r="K5" s="36" t="s">
        <v>115</v>
      </c>
      <c r="L5" s="7">
        <v>6</v>
      </c>
      <c r="M5" s="7" t="s">
        <v>20</v>
      </c>
      <c r="N5" s="30">
        <v>8000</v>
      </c>
      <c r="O5" s="37">
        <f>N5*L5</f>
        <v>48000</v>
      </c>
      <c r="Q5" t="s">
        <v>115</v>
      </c>
      <c r="R5">
        <v>6</v>
      </c>
      <c r="S5" t="s">
        <v>20</v>
      </c>
      <c r="T5">
        <v>8000</v>
      </c>
      <c r="U5">
        <f>T5*R5</f>
        <v>48000</v>
      </c>
    </row>
    <row r="6" spans="2:21" x14ac:dyDescent="0.25">
      <c r="B6" s="59" t="s">
        <v>6</v>
      </c>
      <c r="C6" s="59"/>
      <c r="D6" s="4">
        <f>I15</f>
        <v>978000</v>
      </c>
      <c r="I6" s="3"/>
      <c r="K6" s="36" t="s">
        <v>118</v>
      </c>
      <c r="L6" s="7">
        <v>3</v>
      </c>
      <c r="M6" s="7" t="s">
        <v>119</v>
      </c>
      <c r="N6" s="30">
        <v>8000</v>
      </c>
      <c r="O6" s="37">
        <f t="shared" ref="O6:O24" si="0">N6*L6</f>
        <v>24000</v>
      </c>
      <c r="Q6" t="s">
        <v>118</v>
      </c>
      <c r="R6">
        <v>4</v>
      </c>
      <c r="S6" t="s">
        <v>119</v>
      </c>
      <c r="T6">
        <v>8000</v>
      </c>
      <c r="U6">
        <f t="shared" ref="U6:U25" si="1">T6*R6</f>
        <v>32000</v>
      </c>
    </row>
    <row r="7" spans="2:21" x14ac:dyDescent="0.25">
      <c r="B7" s="57" t="s">
        <v>111</v>
      </c>
      <c r="C7" s="57"/>
      <c r="D7" s="57"/>
      <c r="E7" s="57"/>
      <c r="F7" s="57"/>
      <c r="G7" s="57"/>
      <c r="H7" s="57"/>
      <c r="I7" s="57"/>
      <c r="K7" s="36" t="s">
        <v>159</v>
      </c>
      <c r="L7" s="7">
        <v>0.5</v>
      </c>
      <c r="M7" s="7" t="s">
        <v>20</v>
      </c>
      <c r="N7" s="30">
        <v>12000</v>
      </c>
      <c r="O7" s="37">
        <f t="shared" si="0"/>
        <v>6000</v>
      </c>
      <c r="Q7" t="s">
        <v>159</v>
      </c>
      <c r="R7">
        <v>0.5</v>
      </c>
      <c r="S7" t="s">
        <v>59</v>
      </c>
      <c r="T7">
        <v>12000</v>
      </c>
      <c r="U7">
        <f t="shared" si="1"/>
        <v>6000</v>
      </c>
    </row>
    <row r="8" spans="2:21" x14ac:dyDescent="0.25">
      <c r="K8" s="36" t="s">
        <v>161</v>
      </c>
      <c r="L8" s="7">
        <v>1</v>
      </c>
      <c r="M8" s="7" t="s">
        <v>162</v>
      </c>
      <c r="N8" s="30">
        <v>55000</v>
      </c>
      <c r="O8" s="37">
        <f t="shared" si="0"/>
        <v>55000</v>
      </c>
      <c r="Q8" t="s">
        <v>160</v>
      </c>
      <c r="R8">
        <v>1</v>
      </c>
      <c r="S8" t="s">
        <v>20</v>
      </c>
      <c r="T8">
        <v>23000</v>
      </c>
      <c r="U8">
        <f t="shared" si="1"/>
        <v>23000</v>
      </c>
    </row>
    <row r="9" spans="2:21" x14ac:dyDescent="0.25">
      <c r="B9" s="5" t="s">
        <v>0</v>
      </c>
      <c r="C9" s="62" t="s">
        <v>7</v>
      </c>
      <c r="D9" s="62"/>
      <c r="E9" s="62"/>
      <c r="F9" s="62"/>
      <c r="G9" s="62"/>
      <c r="H9" s="62"/>
      <c r="I9" s="6" t="s">
        <v>6</v>
      </c>
      <c r="K9" s="36" t="s">
        <v>120</v>
      </c>
      <c r="L9" s="7">
        <v>180</v>
      </c>
      <c r="M9" s="7" t="s">
        <v>70</v>
      </c>
      <c r="N9" s="30">
        <v>450</v>
      </c>
      <c r="O9" s="37">
        <f t="shared" si="0"/>
        <v>81000</v>
      </c>
      <c r="Q9" t="s">
        <v>161</v>
      </c>
      <c r="R9">
        <v>1</v>
      </c>
      <c r="S9" t="s">
        <v>162</v>
      </c>
      <c r="T9">
        <v>55000</v>
      </c>
      <c r="U9">
        <f t="shared" si="1"/>
        <v>55000</v>
      </c>
    </row>
    <row r="10" spans="2:21" x14ac:dyDescent="0.25">
      <c r="B10" s="7">
        <v>1</v>
      </c>
      <c r="C10" s="63" t="s">
        <v>203</v>
      </c>
      <c r="D10" s="64"/>
      <c r="E10" s="64"/>
      <c r="F10" s="64"/>
      <c r="G10" s="64"/>
      <c r="H10" s="65"/>
      <c r="I10" s="8">
        <f>O3</f>
        <v>840000</v>
      </c>
      <c r="K10" s="36" t="s">
        <v>121</v>
      </c>
      <c r="L10" s="7">
        <v>6</v>
      </c>
      <c r="M10" s="7" t="s">
        <v>165</v>
      </c>
      <c r="N10" s="30">
        <v>10000</v>
      </c>
      <c r="O10" s="37">
        <f t="shared" si="0"/>
        <v>60000</v>
      </c>
      <c r="Q10" t="s">
        <v>163</v>
      </c>
      <c r="R10">
        <v>2</v>
      </c>
      <c r="S10" t="s">
        <v>24</v>
      </c>
      <c r="T10">
        <v>11000</v>
      </c>
      <c r="U10">
        <f t="shared" si="1"/>
        <v>22000</v>
      </c>
    </row>
    <row r="11" spans="2:21" x14ac:dyDescent="0.25">
      <c r="B11" s="7">
        <v>2</v>
      </c>
      <c r="C11" s="63"/>
      <c r="D11" s="64"/>
      <c r="E11" s="64"/>
      <c r="F11" s="64"/>
      <c r="G11" s="64"/>
      <c r="H11" s="65"/>
      <c r="I11" s="8"/>
      <c r="K11" s="36" t="s">
        <v>148</v>
      </c>
      <c r="L11" s="7">
        <v>1</v>
      </c>
      <c r="M11" s="7" t="s">
        <v>20</v>
      </c>
      <c r="N11" s="30">
        <v>11000</v>
      </c>
      <c r="O11" s="37">
        <f t="shared" si="0"/>
        <v>11000</v>
      </c>
      <c r="Q11" t="s">
        <v>164</v>
      </c>
      <c r="R11">
        <v>2</v>
      </c>
      <c r="S11" t="s">
        <v>24</v>
      </c>
      <c r="T11">
        <v>11000</v>
      </c>
      <c r="U11">
        <f t="shared" si="1"/>
        <v>22000</v>
      </c>
    </row>
    <row r="12" spans="2:21" x14ac:dyDescent="0.25">
      <c r="B12" s="7">
        <v>3</v>
      </c>
      <c r="C12" s="9" t="s">
        <v>204</v>
      </c>
      <c r="D12" s="10"/>
      <c r="E12" s="10"/>
      <c r="F12" s="10"/>
      <c r="G12" s="10"/>
      <c r="H12" s="11"/>
      <c r="I12" s="8">
        <f>O25</f>
        <v>138000</v>
      </c>
      <c r="K12" s="36" t="s">
        <v>166</v>
      </c>
      <c r="L12" s="7">
        <v>0.5</v>
      </c>
      <c r="M12" s="7" t="s">
        <v>20</v>
      </c>
      <c r="N12" s="30">
        <v>80000</v>
      </c>
      <c r="O12" s="37">
        <f t="shared" si="0"/>
        <v>40000</v>
      </c>
      <c r="Q12" t="s">
        <v>120</v>
      </c>
      <c r="R12">
        <v>180</v>
      </c>
      <c r="S12" t="s">
        <v>70</v>
      </c>
      <c r="T12">
        <v>450</v>
      </c>
      <c r="U12">
        <f t="shared" si="1"/>
        <v>81000</v>
      </c>
    </row>
    <row r="13" spans="2:21" x14ac:dyDescent="0.25">
      <c r="B13" s="7">
        <v>4</v>
      </c>
      <c r="C13" s="9"/>
      <c r="D13" s="10"/>
      <c r="E13" s="10"/>
      <c r="F13" s="10"/>
      <c r="G13" s="10"/>
      <c r="H13" s="11"/>
      <c r="I13" s="8"/>
      <c r="K13" s="36" t="s">
        <v>176</v>
      </c>
      <c r="L13" s="7">
        <v>2</v>
      </c>
      <c r="M13" s="7" t="s">
        <v>20</v>
      </c>
      <c r="N13" s="30">
        <v>8000</v>
      </c>
      <c r="O13" s="37">
        <f t="shared" si="0"/>
        <v>16000</v>
      </c>
      <c r="Q13" t="s">
        <v>121</v>
      </c>
      <c r="R13">
        <v>6</v>
      </c>
      <c r="S13" t="s">
        <v>165</v>
      </c>
      <c r="T13">
        <v>10000</v>
      </c>
      <c r="U13">
        <f t="shared" si="1"/>
        <v>60000</v>
      </c>
    </row>
    <row r="14" spans="2:21" x14ac:dyDescent="0.25">
      <c r="B14" s="7">
        <v>5</v>
      </c>
      <c r="C14" s="63"/>
      <c r="D14" s="64"/>
      <c r="E14" s="64"/>
      <c r="F14" s="64"/>
      <c r="G14" s="64"/>
      <c r="H14" s="65"/>
      <c r="I14" s="8"/>
      <c r="K14" s="36" t="s">
        <v>193</v>
      </c>
      <c r="L14" s="7">
        <v>9</v>
      </c>
      <c r="M14" s="7" t="s">
        <v>31</v>
      </c>
      <c r="N14" s="30">
        <v>5000</v>
      </c>
      <c r="O14" s="37">
        <f t="shared" si="0"/>
        <v>45000</v>
      </c>
      <c r="Q14" t="s">
        <v>148</v>
      </c>
      <c r="R14">
        <v>1</v>
      </c>
      <c r="S14" t="s">
        <v>20</v>
      </c>
      <c r="T14">
        <v>10000</v>
      </c>
      <c r="U14">
        <f t="shared" si="1"/>
        <v>10000</v>
      </c>
    </row>
    <row r="15" spans="2:21" x14ac:dyDescent="0.25">
      <c r="B15" s="12"/>
      <c r="H15" s="13" t="s">
        <v>8</v>
      </c>
      <c r="I15" s="14">
        <f>SUM(I10:I14)</f>
        <v>978000</v>
      </c>
      <c r="K15" s="36" t="s">
        <v>29</v>
      </c>
      <c r="L15" s="7">
        <v>1</v>
      </c>
      <c r="M15" s="7" t="s">
        <v>70</v>
      </c>
      <c r="N15" s="30">
        <v>18000</v>
      </c>
      <c r="O15" s="37">
        <f t="shared" si="0"/>
        <v>18000</v>
      </c>
      <c r="Q15" t="s">
        <v>166</v>
      </c>
      <c r="R15">
        <v>0.5</v>
      </c>
      <c r="S15" t="s">
        <v>59</v>
      </c>
      <c r="T15">
        <v>80000</v>
      </c>
      <c r="U15">
        <f t="shared" si="1"/>
        <v>40000</v>
      </c>
    </row>
    <row r="16" spans="2:21" x14ac:dyDescent="0.25">
      <c r="I16" s="18"/>
      <c r="K16" s="36" t="s">
        <v>194</v>
      </c>
      <c r="L16" s="7">
        <v>0.25</v>
      </c>
      <c r="M16" s="7" t="s">
        <v>20</v>
      </c>
      <c r="N16" s="30">
        <v>60000</v>
      </c>
      <c r="O16" s="37">
        <f t="shared" si="0"/>
        <v>15000</v>
      </c>
      <c r="Q16" t="s">
        <v>167</v>
      </c>
      <c r="R16">
        <v>3.5</v>
      </c>
      <c r="S16" t="s">
        <v>20</v>
      </c>
      <c r="T16">
        <v>8000</v>
      </c>
      <c r="U16">
        <f t="shared" si="1"/>
        <v>28000</v>
      </c>
    </row>
    <row r="17" spans="2:21" x14ac:dyDescent="0.25">
      <c r="B17" s="15" t="s">
        <v>196</v>
      </c>
      <c r="I17" s="3"/>
      <c r="K17" s="36" t="s">
        <v>199</v>
      </c>
      <c r="L17" s="7">
        <v>1</v>
      </c>
      <c r="M17" s="7" t="s">
        <v>31</v>
      </c>
      <c r="N17" s="30">
        <v>12000</v>
      </c>
      <c r="O17" s="37">
        <f t="shared" si="0"/>
        <v>12000</v>
      </c>
      <c r="Q17" t="s">
        <v>168</v>
      </c>
      <c r="R17">
        <v>2</v>
      </c>
      <c r="S17" t="s">
        <v>31</v>
      </c>
      <c r="T17">
        <v>12000</v>
      </c>
      <c r="U17">
        <f t="shared" si="1"/>
        <v>24000</v>
      </c>
    </row>
    <row r="18" spans="2:21" x14ac:dyDescent="0.25">
      <c r="K18" s="36" t="s">
        <v>200</v>
      </c>
      <c r="L18" s="7">
        <v>3</v>
      </c>
      <c r="M18" s="7" t="s">
        <v>31</v>
      </c>
      <c r="N18" s="30">
        <v>17000</v>
      </c>
      <c r="O18" s="37">
        <f t="shared" si="0"/>
        <v>51000</v>
      </c>
      <c r="Q18" t="s">
        <v>169</v>
      </c>
      <c r="R18">
        <v>2</v>
      </c>
      <c r="S18" t="s">
        <v>31</v>
      </c>
      <c r="T18">
        <v>17000</v>
      </c>
      <c r="U18">
        <f t="shared" si="1"/>
        <v>34000</v>
      </c>
    </row>
    <row r="19" spans="2:21" x14ac:dyDescent="0.25">
      <c r="K19" s="36" t="s">
        <v>32</v>
      </c>
      <c r="L19" s="7">
        <v>3</v>
      </c>
      <c r="M19" s="7" t="s">
        <v>20</v>
      </c>
      <c r="N19" s="30">
        <v>10000</v>
      </c>
      <c r="O19" s="37">
        <f t="shared" si="0"/>
        <v>30000</v>
      </c>
      <c r="Q19" t="s">
        <v>170</v>
      </c>
      <c r="R19">
        <v>3</v>
      </c>
      <c r="S19" t="s">
        <v>31</v>
      </c>
      <c r="T19">
        <v>10000</v>
      </c>
      <c r="U19">
        <f t="shared" si="1"/>
        <v>30000</v>
      </c>
    </row>
    <row r="20" spans="2:21" x14ac:dyDescent="0.25">
      <c r="B20" t="s">
        <v>10</v>
      </c>
      <c r="D20" s="61" t="s">
        <v>11</v>
      </c>
      <c r="E20" s="61"/>
      <c r="G20" s="61" t="s">
        <v>12</v>
      </c>
      <c r="H20" s="61"/>
      <c r="K20" s="44" t="s">
        <v>33</v>
      </c>
      <c r="L20" s="45">
        <v>2</v>
      </c>
      <c r="M20" s="45" t="s">
        <v>20</v>
      </c>
      <c r="N20" s="46">
        <v>12000</v>
      </c>
      <c r="O20" s="47">
        <f t="shared" si="0"/>
        <v>24000</v>
      </c>
      <c r="Q20" t="s">
        <v>171</v>
      </c>
      <c r="R20">
        <v>3</v>
      </c>
      <c r="S20" t="s">
        <v>31</v>
      </c>
      <c r="T20">
        <v>12000</v>
      </c>
      <c r="U20">
        <f t="shared" si="1"/>
        <v>36000</v>
      </c>
    </row>
    <row r="21" spans="2:21" x14ac:dyDescent="0.25">
      <c r="H21" s="3"/>
      <c r="K21" s="44" t="s">
        <v>167</v>
      </c>
      <c r="L21" s="45">
        <v>5</v>
      </c>
      <c r="M21" s="45" t="s">
        <v>20</v>
      </c>
      <c r="N21" s="46">
        <v>8000</v>
      </c>
      <c r="O21" s="47">
        <f t="shared" si="0"/>
        <v>40000</v>
      </c>
      <c r="Q21" t="s">
        <v>172</v>
      </c>
      <c r="R21">
        <v>9</v>
      </c>
      <c r="S21" t="s">
        <v>20</v>
      </c>
      <c r="T21">
        <v>10000</v>
      </c>
      <c r="U21">
        <f t="shared" si="1"/>
        <v>90000</v>
      </c>
    </row>
    <row r="22" spans="2:21" x14ac:dyDescent="0.25">
      <c r="H22" s="3"/>
      <c r="K22" s="44" t="s">
        <v>202</v>
      </c>
      <c r="L22" s="45">
        <v>2</v>
      </c>
      <c r="M22" s="45" t="s">
        <v>201</v>
      </c>
      <c r="N22" s="46">
        <v>3000</v>
      </c>
      <c r="O22" s="47">
        <f t="shared" si="0"/>
        <v>6000</v>
      </c>
      <c r="Q22" t="s">
        <v>127</v>
      </c>
      <c r="R22">
        <v>6</v>
      </c>
      <c r="S22" t="s">
        <v>31</v>
      </c>
      <c r="T22">
        <v>5000</v>
      </c>
      <c r="U22">
        <f t="shared" si="1"/>
        <v>30000</v>
      </c>
    </row>
    <row r="23" spans="2:21" x14ac:dyDescent="0.25">
      <c r="H23" s="3"/>
      <c r="K23" s="29" t="s">
        <v>123</v>
      </c>
      <c r="L23" s="7">
        <v>6</v>
      </c>
      <c r="M23" s="7" t="s">
        <v>70</v>
      </c>
      <c r="N23" s="30">
        <v>43000</v>
      </c>
      <c r="O23" s="30">
        <f t="shared" si="0"/>
        <v>258000</v>
      </c>
      <c r="Q23" t="s">
        <v>173</v>
      </c>
      <c r="R23">
        <v>3</v>
      </c>
      <c r="S23" t="s">
        <v>57</v>
      </c>
      <c r="T23">
        <v>43000</v>
      </c>
      <c r="U23">
        <f t="shared" si="1"/>
        <v>129000</v>
      </c>
    </row>
    <row r="24" spans="2:21" x14ac:dyDescent="0.25">
      <c r="B24" t="s">
        <v>197</v>
      </c>
      <c r="D24" s="61" t="s">
        <v>14</v>
      </c>
      <c r="E24" s="61"/>
      <c r="G24" s="61" t="s">
        <v>15</v>
      </c>
      <c r="H24" s="61"/>
      <c r="K24" s="29" t="s">
        <v>174</v>
      </c>
      <c r="L24" s="7">
        <v>1</v>
      </c>
      <c r="M24" s="7" t="s">
        <v>195</v>
      </c>
      <c r="N24" s="30">
        <v>20000</v>
      </c>
      <c r="O24" s="30">
        <f t="shared" si="0"/>
        <v>20000</v>
      </c>
      <c r="Q24" t="s">
        <v>174</v>
      </c>
      <c r="R24">
        <v>2</v>
      </c>
      <c r="T24">
        <v>20000</v>
      </c>
      <c r="U24">
        <f t="shared" si="1"/>
        <v>40000</v>
      </c>
    </row>
    <row r="25" spans="2:21" x14ac:dyDescent="0.25">
      <c r="K25" s="54"/>
      <c r="L25" s="66" t="s">
        <v>101</v>
      </c>
      <c r="M25" s="66"/>
      <c r="N25" s="66"/>
      <c r="O25" s="55">
        <f>SUM(O27:O49)</f>
        <v>138000</v>
      </c>
      <c r="Q25" t="s">
        <v>175</v>
      </c>
      <c r="R25">
        <v>1</v>
      </c>
      <c r="T25">
        <v>10000</v>
      </c>
      <c r="U25">
        <f t="shared" si="1"/>
        <v>10000</v>
      </c>
    </row>
    <row r="26" spans="2:21" x14ac:dyDescent="0.25">
      <c r="K26" s="34" t="s">
        <v>105</v>
      </c>
      <c r="L26" s="31" t="s">
        <v>116</v>
      </c>
      <c r="M26" s="31"/>
      <c r="N26" s="32" t="s">
        <v>117</v>
      </c>
      <c r="O26" s="35" t="s">
        <v>8</v>
      </c>
    </row>
    <row r="27" spans="2:21" x14ac:dyDescent="0.25">
      <c r="K27" s="29" t="s">
        <v>206</v>
      </c>
      <c r="L27" s="7">
        <v>1</v>
      </c>
      <c r="M27" s="7"/>
      <c r="N27" s="30">
        <v>97000</v>
      </c>
      <c r="O27" s="30">
        <f>N27*L27</f>
        <v>97000</v>
      </c>
    </row>
    <row r="28" spans="2:21" x14ac:dyDescent="0.25">
      <c r="K28" s="29" t="s">
        <v>207</v>
      </c>
      <c r="L28" s="7">
        <v>1</v>
      </c>
      <c r="M28" s="7"/>
      <c r="N28" s="30">
        <v>10000</v>
      </c>
      <c r="O28" s="30">
        <f>N28*L28</f>
        <v>10000</v>
      </c>
    </row>
    <row r="29" spans="2:21" x14ac:dyDescent="0.25">
      <c r="K29" s="29" t="s">
        <v>208</v>
      </c>
      <c r="L29" s="7">
        <v>1</v>
      </c>
      <c r="M29" s="7"/>
      <c r="N29" s="30">
        <v>9000</v>
      </c>
      <c r="O29" s="30">
        <f>N29*L29</f>
        <v>9000</v>
      </c>
    </row>
    <row r="30" spans="2:21" x14ac:dyDescent="0.25">
      <c r="K30" s="29" t="s">
        <v>209</v>
      </c>
      <c r="L30" s="7">
        <v>1</v>
      </c>
      <c r="M30" s="7"/>
      <c r="N30" s="30">
        <v>22000</v>
      </c>
      <c r="O30" s="30">
        <f>N30*L30</f>
        <v>22000</v>
      </c>
    </row>
    <row r="31" spans="2:21" x14ac:dyDescent="0.25">
      <c r="K31" s="29"/>
      <c r="L31" s="7"/>
      <c r="M31" s="7"/>
      <c r="N31" s="30"/>
      <c r="O31" s="30">
        <f>N31*L31</f>
        <v>0</v>
      </c>
    </row>
    <row r="32" spans="2:21" x14ac:dyDescent="0.25">
      <c r="K32" s="29"/>
      <c r="L32" s="7"/>
      <c r="M32" s="7"/>
      <c r="N32" s="30"/>
      <c r="O32" s="30"/>
    </row>
    <row r="33" spans="11:15" x14ac:dyDescent="0.25">
      <c r="K33" s="29"/>
      <c r="L33" s="7"/>
      <c r="M33" s="7"/>
      <c r="N33" s="30"/>
      <c r="O33" s="30"/>
    </row>
    <row r="34" spans="11:15" x14ac:dyDescent="0.25">
      <c r="K34" s="29"/>
      <c r="L34" s="7"/>
      <c r="M34" s="7"/>
      <c r="N34" s="30"/>
      <c r="O34" s="30"/>
    </row>
    <row r="35" spans="11:15" x14ac:dyDescent="0.25">
      <c r="L35"/>
      <c r="N35"/>
      <c r="O35"/>
    </row>
    <row r="36" spans="11:15" x14ac:dyDescent="0.25">
      <c r="L36"/>
      <c r="N36"/>
      <c r="O36"/>
    </row>
    <row r="37" spans="11:15" x14ac:dyDescent="0.25">
      <c r="L37"/>
      <c r="N37"/>
      <c r="O37"/>
    </row>
    <row r="38" spans="11:15" x14ac:dyDescent="0.25">
      <c r="L38"/>
      <c r="N38"/>
      <c r="O38"/>
    </row>
    <row r="39" spans="11:15" x14ac:dyDescent="0.25">
      <c r="L39"/>
      <c r="N39"/>
      <c r="O39"/>
    </row>
    <row r="40" spans="11:15" x14ac:dyDescent="0.25">
      <c r="L40"/>
      <c r="N40"/>
      <c r="O40"/>
    </row>
    <row r="41" spans="11:15" x14ac:dyDescent="0.25">
      <c r="L41"/>
      <c r="N41"/>
      <c r="O41"/>
    </row>
    <row r="42" spans="11:15" x14ac:dyDescent="0.25">
      <c r="L42"/>
      <c r="N42"/>
      <c r="O42"/>
    </row>
    <row r="43" spans="11:15" x14ac:dyDescent="0.25">
      <c r="L43"/>
      <c r="N43"/>
      <c r="O43"/>
    </row>
    <row r="44" spans="11:15" x14ac:dyDescent="0.25">
      <c r="L44"/>
      <c r="N44"/>
      <c r="O44"/>
    </row>
    <row r="45" spans="11:15" x14ac:dyDescent="0.25">
      <c r="L45"/>
      <c r="N45"/>
      <c r="O45"/>
    </row>
    <row r="46" spans="11:15" x14ac:dyDescent="0.25">
      <c r="L46"/>
      <c r="N46"/>
      <c r="O46"/>
    </row>
    <row r="47" spans="11:15" x14ac:dyDescent="0.25">
      <c r="L47"/>
      <c r="N47"/>
      <c r="O47"/>
    </row>
    <row r="48" spans="11:15" x14ac:dyDescent="0.25">
      <c r="L48"/>
      <c r="N48"/>
      <c r="O48"/>
    </row>
    <row r="49" spans="12:15" x14ac:dyDescent="0.25">
      <c r="L49"/>
      <c r="N49"/>
      <c r="O49"/>
    </row>
    <row r="50" spans="12:15" x14ac:dyDescent="0.25">
      <c r="L50"/>
      <c r="N50"/>
      <c r="O50"/>
    </row>
    <row r="51" spans="12:15" x14ac:dyDescent="0.25">
      <c r="L51"/>
      <c r="N51"/>
      <c r="O51"/>
    </row>
    <row r="52" spans="12:15" x14ac:dyDescent="0.25">
      <c r="L52"/>
      <c r="N52"/>
      <c r="O52"/>
    </row>
    <row r="53" spans="12:15" x14ac:dyDescent="0.25">
      <c r="L53"/>
      <c r="N53"/>
      <c r="O53"/>
    </row>
    <row r="54" spans="12:15" x14ac:dyDescent="0.25">
      <c r="L54"/>
      <c r="N54"/>
      <c r="O54"/>
    </row>
  </sheetData>
  <mergeCells count="16">
    <mergeCell ref="D20:E20"/>
    <mergeCell ref="G20:H20"/>
    <mergeCell ref="L25:N25"/>
    <mergeCell ref="D24:E24"/>
    <mergeCell ref="G24:H24"/>
    <mergeCell ref="B7:I7"/>
    <mergeCell ref="C9:H9"/>
    <mergeCell ref="C10:H10"/>
    <mergeCell ref="C11:H11"/>
    <mergeCell ref="C14:H14"/>
    <mergeCell ref="B6:C6"/>
    <mergeCell ref="B2:I2"/>
    <mergeCell ref="L3:N3"/>
    <mergeCell ref="B4:C4"/>
    <mergeCell ref="G4:H4"/>
    <mergeCell ref="B5:C5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DB41-4EF1-4103-8211-921B86CAF32A}">
  <dimension ref="A1:N43"/>
  <sheetViews>
    <sheetView topLeftCell="A16" workbookViewId="0">
      <selection activeCell="J6" sqref="J6"/>
    </sheetView>
  </sheetViews>
  <sheetFormatPr defaultRowHeight="15" x14ac:dyDescent="0.25"/>
  <cols>
    <col min="3" max="3" width="12.140625" customWidth="1"/>
    <col min="8" max="8" width="11.5703125" bestFit="1" customWidth="1"/>
    <col min="10" max="10" width="20.7109375" bestFit="1" customWidth="1"/>
  </cols>
  <sheetData>
    <row r="1" spans="1:14" x14ac:dyDescent="0.25">
      <c r="K1" s="12"/>
      <c r="L1" s="12"/>
      <c r="M1" s="20"/>
      <c r="N1" s="20"/>
    </row>
    <row r="2" spans="1:14" ht="19.5" thickBot="1" x14ac:dyDescent="0.35">
      <c r="A2" s="58" t="s">
        <v>109</v>
      </c>
      <c r="B2" s="58"/>
      <c r="C2" s="58"/>
      <c r="D2" s="58"/>
      <c r="E2" s="58"/>
      <c r="F2" s="58"/>
      <c r="G2" s="58"/>
      <c r="H2" s="58"/>
      <c r="K2" s="12"/>
      <c r="L2" s="12"/>
      <c r="M2" s="20"/>
      <c r="N2" s="20"/>
    </row>
    <row r="3" spans="1:14" x14ac:dyDescent="0.25">
      <c r="J3" s="33" t="s">
        <v>130</v>
      </c>
      <c r="K3" s="56" t="s">
        <v>101</v>
      </c>
      <c r="L3" s="56"/>
      <c r="M3" s="56"/>
      <c r="N3" s="42">
        <f>SUM(N5:N23)</f>
        <v>583003</v>
      </c>
    </row>
    <row r="4" spans="1:14" x14ac:dyDescent="0.25">
      <c r="A4" s="59" t="s">
        <v>1</v>
      </c>
      <c r="B4" s="59"/>
      <c r="C4" s="1" t="s">
        <v>205</v>
      </c>
      <c r="F4" s="60" t="s">
        <v>3</v>
      </c>
      <c r="G4" s="60"/>
      <c r="H4" s="2">
        <f ca="1">TODAY()</f>
        <v>46147</v>
      </c>
      <c r="J4" s="34" t="s">
        <v>105</v>
      </c>
      <c r="K4" s="31" t="s">
        <v>116</v>
      </c>
      <c r="L4" s="31"/>
      <c r="M4" s="32" t="s">
        <v>117</v>
      </c>
      <c r="N4" s="35" t="s">
        <v>8</v>
      </c>
    </row>
    <row r="5" spans="1:14" x14ac:dyDescent="0.25">
      <c r="A5" s="59" t="s">
        <v>4</v>
      </c>
      <c r="B5" s="59"/>
      <c r="C5" t="s">
        <v>5</v>
      </c>
      <c r="H5" s="3"/>
      <c r="J5" s="36" t="s">
        <v>115</v>
      </c>
      <c r="K5" s="7">
        <v>5</v>
      </c>
      <c r="L5" s="7" t="s">
        <v>20</v>
      </c>
      <c r="M5" s="30">
        <v>8000</v>
      </c>
      <c r="N5" s="37">
        <f>M5*K5</f>
        <v>40000</v>
      </c>
    </row>
    <row r="6" spans="1:14" x14ac:dyDescent="0.25">
      <c r="A6" s="59" t="s">
        <v>6</v>
      </c>
      <c r="B6" s="59"/>
      <c r="C6" s="4">
        <f>H15</f>
        <v>721003</v>
      </c>
      <c r="H6" s="3"/>
      <c r="J6" s="36" t="s">
        <v>213</v>
      </c>
      <c r="K6" s="7">
        <v>3</v>
      </c>
      <c r="L6" s="7" t="s">
        <v>119</v>
      </c>
      <c r="M6" s="30">
        <v>8000</v>
      </c>
      <c r="N6" s="37">
        <f t="shared" ref="N6:N22" si="0">M6*K6</f>
        <v>24000</v>
      </c>
    </row>
    <row r="7" spans="1:14" x14ac:dyDescent="0.25">
      <c r="A7" s="57" t="s">
        <v>111</v>
      </c>
      <c r="B7" s="57"/>
      <c r="C7" s="57"/>
      <c r="D7" s="57"/>
      <c r="E7" s="57"/>
      <c r="F7" s="57"/>
      <c r="G7" s="57"/>
      <c r="H7" s="57"/>
      <c r="J7" s="36" t="s">
        <v>159</v>
      </c>
      <c r="K7" s="7">
        <v>0.5</v>
      </c>
      <c r="L7" s="7" t="s">
        <v>20</v>
      </c>
      <c r="M7" s="30">
        <v>12000</v>
      </c>
      <c r="N7" s="37">
        <f t="shared" si="0"/>
        <v>6000</v>
      </c>
    </row>
    <row r="8" spans="1:14" x14ac:dyDescent="0.25">
      <c r="J8" s="36" t="s">
        <v>161</v>
      </c>
      <c r="K8" s="7">
        <v>1</v>
      </c>
      <c r="L8" s="7" t="s">
        <v>162</v>
      </c>
      <c r="M8" s="30">
        <v>55000</v>
      </c>
      <c r="N8" s="37">
        <f t="shared" si="0"/>
        <v>55000</v>
      </c>
    </row>
    <row r="9" spans="1:14" x14ac:dyDescent="0.25">
      <c r="A9" s="5" t="s">
        <v>0</v>
      </c>
      <c r="B9" s="62" t="s">
        <v>7</v>
      </c>
      <c r="C9" s="62"/>
      <c r="D9" s="62"/>
      <c r="E9" s="62"/>
      <c r="F9" s="62"/>
      <c r="G9" s="62"/>
      <c r="H9" s="6" t="s">
        <v>6</v>
      </c>
      <c r="J9" s="36" t="s">
        <v>120</v>
      </c>
      <c r="K9" s="7">
        <v>180</v>
      </c>
      <c r="L9" s="7" t="s">
        <v>70</v>
      </c>
      <c r="M9" s="30">
        <v>450</v>
      </c>
      <c r="N9" s="37">
        <f t="shared" si="0"/>
        <v>81000</v>
      </c>
    </row>
    <row r="10" spans="1:14" x14ac:dyDescent="0.25">
      <c r="A10" s="7">
        <v>1</v>
      </c>
      <c r="B10" s="63" t="s">
        <v>203</v>
      </c>
      <c r="C10" s="64"/>
      <c r="D10" s="64"/>
      <c r="E10" s="64"/>
      <c r="F10" s="64"/>
      <c r="G10" s="65"/>
      <c r="H10" s="8">
        <f>N3</f>
        <v>583003</v>
      </c>
      <c r="J10" s="36" t="s">
        <v>121</v>
      </c>
      <c r="K10" s="7">
        <v>6</v>
      </c>
      <c r="L10" s="7" t="s">
        <v>165</v>
      </c>
      <c r="M10" s="30">
        <v>10000</v>
      </c>
      <c r="N10" s="37">
        <f t="shared" si="0"/>
        <v>60000</v>
      </c>
    </row>
    <row r="11" spans="1:14" x14ac:dyDescent="0.25">
      <c r="A11" s="7">
        <v>2</v>
      </c>
      <c r="B11" s="63"/>
      <c r="C11" s="64"/>
      <c r="D11" s="64"/>
      <c r="E11" s="64"/>
      <c r="F11" s="64"/>
      <c r="G11" s="65"/>
      <c r="H11" s="8"/>
      <c r="J11" s="36" t="s">
        <v>148</v>
      </c>
      <c r="K11" s="7">
        <v>1</v>
      </c>
      <c r="L11" s="7" t="s">
        <v>20</v>
      </c>
      <c r="M11" s="30">
        <v>11000</v>
      </c>
      <c r="N11" s="37">
        <f t="shared" si="0"/>
        <v>11000</v>
      </c>
    </row>
    <row r="12" spans="1:14" x14ac:dyDescent="0.25">
      <c r="A12" s="7">
        <v>3</v>
      </c>
      <c r="B12" s="9" t="s">
        <v>204</v>
      </c>
      <c r="C12" s="10"/>
      <c r="D12" s="10"/>
      <c r="E12" s="10"/>
      <c r="F12" s="10"/>
      <c r="G12" s="11"/>
      <c r="H12" s="8">
        <f>N25</f>
        <v>138000</v>
      </c>
      <c r="J12" s="36" t="s">
        <v>166</v>
      </c>
      <c r="K12" s="7">
        <v>0.5</v>
      </c>
      <c r="L12" s="7" t="s">
        <v>20</v>
      </c>
      <c r="M12" s="30">
        <v>80000</v>
      </c>
      <c r="N12" s="37">
        <f t="shared" si="0"/>
        <v>40000</v>
      </c>
    </row>
    <row r="13" spans="1:14" x14ac:dyDescent="0.25">
      <c r="A13" s="7">
        <v>4</v>
      </c>
      <c r="B13" s="9"/>
      <c r="C13" s="10"/>
      <c r="D13" s="10"/>
      <c r="E13" s="10"/>
      <c r="F13" s="10"/>
      <c r="G13" s="11"/>
      <c r="H13" s="8"/>
      <c r="J13" s="36" t="s">
        <v>176</v>
      </c>
      <c r="K13" s="7">
        <v>2</v>
      </c>
      <c r="L13" s="7" t="s">
        <v>20</v>
      </c>
      <c r="M13" s="30">
        <v>8000</v>
      </c>
      <c r="N13" s="37">
        <f t="shared" si="0"/>
        <v>16000</v>
      </c>
    </row>
    <row r="14" spans="1:14" x14ac:dyDescent="0.25">
      <c r="A14" s="7">
        <v>5</v>
      </c>
      <c r="B14" s="63"/>
      <c r="C14" s="64"/>
      <c r="D14" s="64"/>
      <c r="E14" s="64"/>
      <c r="F14" s="64"/>
      <c r="G14" s="65"/>
      <c r="H14" s="8"/>
      <c r="J14" s="36" t="s">
        <v>193</v>
      </c>
      <c r="K14" s="7">
        <v>9</v>
      </c>
      <c r="L14" s="7" t="s">
        <v>31</v>
      </c>
      <c r="M14" s="30">
        <v>5000</v>
      </c>
      <c r="N14" s="37">
        <f t="shared" si="0"/>
        <v>45000</v>
      </c>
    </row>
    <row r="15" spans="1:14" x14ac:dyDescent="0.25">
      <c r="A15" s="12"/>
      <c r="G15" s="13" t="s">
        <v>8</v>
      </c>
      <c r="H15" s="14">
        <f>SUM(H10:H14)</f>
        <v>721003</v>
      </c>
      <c r="J15" s="36" t="s">
        <v>29</v>
      </c>
      <c r="K15" s="7">
        <v>1</v>
      </c>
      <c r="L15" s="7" t="s">
        <v>70</v>
      </c>
      <c r="M15" s="30">
        <v>18000</v>
      </c>
      <c r="N15" s="37">
        <f t="shared" si="0"/>
        <v>18000</v>
      </c>
    </row>
    <row r="16" spans="1:14" x14ac:dyDescent="0.25">
      <c r="H16" s="18"/>
      <c r="J16" s="36" t="s">
        <v>194</v>
      </c>
      <c r="K16" s="7">
        <v>0.25</v>
      </c>
      <c r="L16" s="7" t="s">
        <v>20</v>
      </c>
      <c r="M16" s="30">
        <v>60000</v>
      </c>
      <c r="N16" s="37">
        <f t="shared" si="0"/>
        <v>15000</v>
      </c>
    </row>
    <row r="17" spans="1:14" x14ac:dyDescent="0.25">
      <c r="A17" s="15" t="s">
        <v>196</v>
      </c>
      <c r="H17" s="3"/>
      <c r="J17" s="36" t="s">
        <v>199</v>
      </c>
      <c r="K17" s="7">
        <v>1</v>
      </c>
      <c r="L17" s="7" t="s">
        <v>31</v>
      </c>
      <c r="M17" s="30">
        <v>12000</v>
      </c>
      <c r="N17" s="37">
        <f t="shared" si="0"/>
        <v>12000</v>
      </c>
    </row>
    <row r="18" spans="1:14" x14ac:dyDescent="0.25">
      <c r="J18" s="36" t="s">
        <v>200</v>
      </c>
      <c r="K18" s="7">
        <v>3</v>
      </c>
      <c r="L18" s="7" t="s">
        <v>31</v>
      </c>
      <c r="M18" s="30">
        <v>17000</v>
      </c>
      <c r="N18" s="37">
        <f t="shared" si="0"/>
        <v>51000</v>
      </c>
    </row>
    <row r="19" spans="1:14" x14ac:dyDescent="0.25">
      <c r="J19" s="36" t="s">
        <v>32</v>
      </c>
      <c r="K19" s="7">
        <v>3</v>
      </c>
      <c r="L19" s="7" t="s">
        <v>20</v>
      </c>
      <c r="M19" s="30">
        <v>10000</v>
      </c>
      <c r="N19" s="37">
        <f t="shared" si="0"/>
        <v>30000</v>
      </c>
    </row>
    <row r="20" spans="1:14" x14ac:dyDescent="0.25">
      <c r="A20" t="s">
        <v>10</v>
      </c>
      <c r="C20" s="61" t="s">
        <v>11</v>
      </c>
      <c r="D20" s="61"/>
      <c r="F20" s="61" t="s">
        <v>12</v>
      </c>
      <c r="G20" s="61"/>
      <c r="J20" s="44" t="s">
        <v>33</v>
      </c>
      <c r="K20" s="45">
        <v>2</v>
      </c>
      <c r="L20" s="45" t="s">
        <v>20</v>
      </c>
      <c r="M20" s="46">
        <v>12000</v>
      </c>
      <c r="N20" s="47">
        <f t="shared" si="0"/>
        <v>24000</v>
      </c>
    </row>
    <row r="21" spans="1:14" x14ac:dyDescent="0.25">
      <c r="G21" s="3"/>
      <c r="J21" s="44" t="s">
        <v>167</v>
      </c>
      <c r="K21" s="45">
        <v>5</v>
      </c>
      <c r="L21" s="45" t="s">
        <v>20</v>
      </c>
      <c r="M21" s="46">
        <v>8000</v>
      </c>
      <c r="N21" s="47">
        <f t="shared" si="0"/>
        <v>40000</v>
      </c>
    </row>
    <row r="22" spans="1:14" x14ac:dyDescent="0.25">
      <c r="G22" s="3"/>
      <c r="J22" s="44" t="s">
        <v>202</v>
      </c>
      <c r="K22" s="45">
        <v>2</v>
      </c>
      <c r="L22" s="45" t="s">
        <v>201</v>
      </c>
      <c r="M22" s="46">
        <v>3000</v>
      </c>
      <c r="N22" s="47">
        <f t="shared" si="0"/>
        <v>6000</v>
      </c>
    </row>
    <row r="23" spans="1:14" x14ac:dyDescent="0.25">
      <c r="G23" s="3"/>
      <c r="J23" s="44" t="s">
        <v>202</v>
      </c>
      <c r="K23" s="45">
        <v>3</v>
      </c>
      <c r="L23" s="45" t="s">
        <v>201</v>
      </c>
      <c r="M23" s="46">
        <v>3001</v>
      </c>
      <c r="N23" s="47">
        <f>M23*K23</f>
        <v>9003</v>
      </c>
    </row>
    <row r="24" spans="1:14" x14ac:dyDescent="0.25">
      <c r="A24" t="s">
        <v>197</v>
      </c>
      <c r="C24" s="61" t="s">
        <v>14</v>
      </c>
      <c r="D24" s="61"/>
      <c r="F24" s="61" t="s">
        <v>15</v>
      </c>
      <c r="G24" s="61"/>
      <c r="J24" s="44" t="s">
        <v>202</v>
      </c>
      <c r="K24" s="45">
        <v>4</v>
      </c>
      <c r="L24" s="45" t="s">
        <v>201</v>
      </c>
      <c r="M24" s="46">
        <v>3002</v>
      </c>
      <c r="N24" s="47">
        <f>M24*K24</f>
        <v>12008</v>
      </c>
    </row>
    <row r="25" spans="1:14" x14ac:dyDescent="0.25">
      <c r="J25" s="54"/>
      <c r="K25" s="66" t="s">
        <v>101</v>
      </c>
      <c r="L25" s="66"/>
      <c r="M25" s="66"/>
      <c r="N25" s="55">
        <f>SUM(N27:N49)</f>
        <v>138000</v>
      </c>
    </row>
    <row r="26" spans="1:14" x14ac:dyDescent="0.25">
      <c r="J26" s="34" t="s">
        <v>105</v>
      </c>
      <c r="K26" s="31" t="s">
        <v>116</v>
      </c>
      <c r="L26" s="31"/>
      <c r="M26" s="32" t="s">
        <v>117</v>
      </c>
      <c r="N26" s="35" t="s">
        <v>8</v>
      </c>
    </row>
    <row r="27" spans="1:14" x14ac:dyDescent="0.25">
      <c r="J27" s="29" t="s">
        <v>206</v>
      </c>
      <c r="K27" s="7">
        <v>1</v>
      </c>
      <c r="L27" s="7"/>
      <c r="M27" s="30">
        <v>97000</v>
      </c>
      <c r="N27" s="30">
        <f>M27*K27</f>
        <v>97000</v>
      </c>
    </row>
    <row r="28" spans="1:14" x14ac:dyDescent="0.25">
      <c r="J28" s="29" t="s">
        <v>207</v>
      </c>
      <c r="K28" s="7">
        <v>1</v>
      </c>
      <c r="L28" s="7"/>
      <c r="M28" s="30">
        <v>10000</v>
      </c>
      <c r="N28" s="30">
        <f>M28*K28</f>
        <v>10000</v>
      </c>
    </row>
    <row r="29" spans="1:14" x14ac:dyDescent="0.25">
      <c r="J29" s="29" t="s">
        <v>208</v>
      </c>
      <c r="K29" s="7">
        <v>1</v>
      </c>
      <c r="L29" s="7"/>
      <c r="M29" s="30">
        <v>9000</v>
      </c>
      <c r="N29" s="30">
        <f>M29*K29</f>
        <v>9000</v>
      </c>
    </row>
    <row r="30" spans="1:14" x14ac:dyDescent="0.25">
      <c r="J30" s="29" t="s">
        <v>209</v>
      </c>
      <c r="K30" s="7">
        <v>1</v>
      </c>
      <c r="L30" s="7"/>
      <c r="M30" s="30">
        <v>22000</v>
      </c>
      <c r="N30" s="30">
        <f>M30*K30</f>
        <v>22000</v>
      </c>
    </row>
    <row r="31" spans="1:14" x14ac:dyDescent="0.25">
      <c r="J31" s="29"/>
      <c r="K31" s="7"/>
      <c r="L31" s="7"/>
      <c r="M31" s="30"/>
      <c r="N31" s="30">
        <f>M31*K31</f>
        <v>0</v>
      </c>
    </row>
    <row r="32" spans="1:14" x14ac:dyDescent="0.25">
      <c r="J32" s="29"/>
      <c r="K32" s="7"/>
      <c r="L32" s="7"/>
      <c r="M32" s="30"/>
      <c r="N32" s="30"/>
    </row>
    <row r="33" spans="10:14" x14ac:dyDescent="0.25">
      <c r="J33" s="29"/>
      <c r="K33" s="7"/>
      <c r="L33" s="7"/>
      <c r="M33" s="30"/>
      <c r="N33" s="30"/>
    </row>
    <row r="34" spans="10:14" x14ac:dyDescent="0.25">
      <c r="J34" s="29"/>
      <c r="K34" s="7"/>
      <c r="L34" s="7"/>
      <c r="M34" s="30"/>
      <c r="N34" s="30"/>
    </row>
    <row r="35" spans="10:14" x14ac:dyDescent="0.25">
      <c r="L35" s="12"/>
    </row>
    <row r="36" spans="10:14" x14ac:dyDescent="0.25">
      <c r="L36" s="12"/>
    </row>
    <row r="37" spans="10:14" x14ac:dyDescent="0.25">
      <c r="L37" s="12"/>
    </row>
    <row r="38" spans="10:14" x14ac:dyDescent="0.25">
      <c r="L38" s="12"/>
    </row>
    <row r="39" spans="10:14" x14ac:dyDescent="0.25">
      <c r="L39" s="12"/>
    </row>
    <row r="40" spans="10:14" x14ac:dyDescent="0.25">
      <c r="L40" s="12"/>
    </row>
    <row r="41" spans="10:14" x14ac:dyDescent="0.25">
      <c r="L41" s="12"/>
    </row>
    <row r="42" spans="10:14" x14ac:dyDescent="0.25">
      <c r="L42" s="12"/>
    </row>
    <row r="43" spans="10:14" x14ac:dyDescent="0.25">
      <c r="L43" s="12"/>
    </row>
  </sheetData>
  <mergeCells count="16">
    <mergeCell ref="C24:D24"/>
    <mergeCell ref="F24:G24"/>
    <mergeCell ref="K25:M25"/>
    <mergeCell ref="A7:H7"/>
    <mergeCell ref="B9:G9"/>
    <mergeCell ref="B10:G10"/>
    <mergeCell ref="B11:G11"/>
    <mergeCell ref="B14:G14"/>
    <mergeCell ref="C20:D20"/>
    <mergeCell ref="F20:G20"/>
    <mergeCell ref="A6:B6"/>
    <mergeCell ref="A2:H2"/>
    <mergeCell ref="K3:M3"/>
    <mergeCell ref="A4:B4"/>
    <mergeCell ref="F4:G4"/>
    <mergeCell ref="A5:B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EF24E-A075-408C-A2D1-128B73A60680}">
  <dimension ref="A1:N33"/>
  <sheetViews>
    <sheetView topLeftCell="A12" workbookViewId="0">
      <selection activeCell="H10" sqref="H10"/>
    </sheetView>
  </sheetViews>
  <sheetFormatPr defaultRowHeight="15" x14ac:dyDescent="0.25"/>
  <cols>
    <col min="3" max="3" width="12.85546875" bestFit="1" customWidth="1"/>
    <col min="8" max="8" width="11.5703125" bestFit="1" customWidth="1"/>
  </cols>
  <sheetData>
    <row r="1" spans="1:14" x14ac:dyDescent="0.25">
      <c r="J1" s="33" t="s">
        <v>130</v>
      </c>
      <c r="K1" s="56" t="s">
        <v>101</v>
      </c>
      <c r="L1" s="56"/>
      <c r="M1" s="56"/>
      <c r="N1" s="42">
        <f>SUM(N3:N21)</f>
        <v>840000</v>
      </c>
    </row>
    <row r="2" spans="1:14" x14ac:dyDescent="0.25">
      <c r="A2" s="59" t="s">
        <v>1</v>
      </c>
      <c r="B2" s="59"/>
      <c r="C2" s="1" t="s">
        <v>205</v>
      </c>
      <c r="F2" s="60" t="s">
        <v>3</v>
      </c>
      <c r="G2" s="60"/>
      <c r="H2" s="2">
        <f ca="1">TODAY()</f>
        <v>46147</v>
      </c>
      <c r="J2" s="34" t="s">
        <v>105</v>
      </c>
      <c r="K2" s="31" t="s">
        <v>116</v>
      </c>
      <c r="L2" s="31"/>
      <c r="M2" s="32" t="s">
        <v>117</v>
      </c>
      <c r="N2" s="35" t="s">
        <v>8</v>
      </c>
    </row>
    <row r="3" spans="1:14" x14ac:dyDescent="0.25">
      <c r="A3" s="59" t="s">
        <v>4</v>
      </c>
      <c r="B3" s="59"/>
      <c r="C3" t="s">
        <v>5</v>
      </c>
      <c r="H3" s="3"/>
      <c r="J3" s="36" t="s">
        <v>115</v>
      </c>
      <c r="K3" s="7">
        <v>6</v>
      </c>
      <c r="L3" s="7" t="s">
        <v>20</v>
      </c>
      <c r="M3" s="30">
        <v>8000</v>
      </c>
      <c r="N3" s="37">
        <f>M3*K3</f>
        <v>48000</v>
      </c>
    </row>
    <row r="4" spans="1:14" x14ac:dyDescent="0.25">
      <c r="A4" s="59" t="s">
        <v>6</v>
      </c>
      <c r="B4" s="59"/>
      <c r="C4" s="4">
        <f>H13</f>
        <v>840000</v>
      </c>
      <c r="H4" s="3"/>
      <c r="J4" s="36" t="s">
        <v>118</v>
      </c>
      <c r="K4" s="7">
        <v>3</v>
      </c>
      <c r="L4" s="7" t="s">
        <v>119</v>
      </c>
      <c r="M4" s="30">
        <v>8000</v>
      </c>
      <c r="N4" s="37">
        <f t="shared" ref="N4:N22" si="0">M4*K4</f>
        <v>24000</v>
      </c>
    </row>
    <row r="5" spans="1:14" x14ac:dyDescent="0.25">
      <c r="A5" s="57" t="s">
        <v>111</v>
      </c>
      <c r="B5" s="57"/>
      <c r="C5" s="57"/>
      <c r="D5" s="57"/>
      <c r="E5" s="57"/>
      <c r="F5" s="57"/>
      <c r="G5" s="57"/>
      <c r="H5" s="57"/>
      <c r="J5" s="36" t="s">
        <v>159</v>
      </c>
      <c r="K5" s="7">
        <v>0.5</v>
      </c>
      <c r="L5" s="7" t="s">
        <v>20</v>
      </c>
      <c r="M5" s="30">
        <v>12000</v>
      </c>
      <c r="N5" s="37">
        <f t="shared" si="0"/>
        <v>6000</v>
      </c>
    </row>
    <row r="6" spans="1:14" x14ac:dyDescent="0.25">
      <c r="J6" s="36" t="s">
        <v>161</v>
      </c>
      <c r="K6" s="7">
        <v>1</v>
      </c>
      <c r="L6" s="7" t="s">
        <v>162</v>
      </c>
      <c r="M6" s="30">
        <v>55000</v>
      </c>
      <c r="N6" s="37">
        <f t="shared" si="0"/>
        <v>55000</v>
      </c>
    </row>
    <row r="7" spans="1:14" x14ac:dyDescent="0.25">
      <c r="A7" s="5" t="s">
        <v>0</v>
      </c>
      <c r="B7" s="62" t="s">
        <v>7</v>
      </c>
      <c r="C7" s="62"/>
      <c r="D7" s="62"/>
      <c r="E7" s="62"/>
      <c r="F7" s="62"/>
      <c r="G7" s="62"/>
      <c r="H7" s="6" t="s">
        <v>6</v>
      </c>
      <c r="J7" s="36" t="s">
        <v>120</v>
      </c>
      <c r="K7" s="7">
        <v>180</v>
      </c>
      <c r="L7" s="7" t="s">
        <v>70</v>
      </c>
      <c r="M7" s="30">
        <v>450</v>
      </c>
      <c r="N7" s="37">
        <f t="shared" si="0"/>
        <v>81000</v>
      </c>
    </row>
    <row r="8" spans="1:14" x14ac:dyDescent="0.25">
      <c r="A8" s="7">
        <v>1</v>
      </c>
      <c r="B8" s="63" t="s">
        <v>203</v>
      </c>
      <c r="C8" s="64"/>
      <c r="D8" s="64"/>
      <c r="E8" s="64"/>
      <c r="F8" s="64"/>
      <c r="G8" s="65"/>
      <c r="H8" s="8">
        <f>N1</f>
        <v>840000</v>
      </c>
      <c r="J8" s="36" t="s">
        <v>121</v>
      </c>
      <c r="K8" s="7">
        <v>6</v>
      </c>
      <c r="L8" s="7" t="s">
        <v>165</v>
      </c>
      <c r="M8" s="30">
        <v>10000</v>
      </c>
      <c r="N8" s="37">
        <f t="shared" si="0"/>
        <v>60000</v>
      </c>
    </row>
    <row r="9" spans="1:14" x14ac:dyDescent="0.25">
      <c r="A9" s="7">
        <v>2</v>
      </c>
      <c r="B9" s="63"/>
      <c r="C9" s="64"/>
      <c r="D9" s="64"/>
      <c r="E9" s="64"/>
      <c r="F9" s="64"/>
      <c r="G9" s="65"/>
      <c r="H9" s="8"/>
      <c r="J9" s="36" t="s">
        <v>148</v>
      </c>
      <c r="K9" s="7">
        <v>1</v>
      </c>
      <c r="L9" s="7" t="s">
        <v>20</v>
      </c>
      <c r="M9" s="30">
        <v>11000</v>
      </c>
      <c r="N9" s="37">
        <f t="shared" si="0"/>
        <v>11000</v>
      </c>
    </row>
    <row r="10" spans="1:14" x14ac:dyDescent="0.25">
      <c r="A10" s="7">
        <v>3</v>
      </c>
      <c r="B10" s="9" t="s">
        <v>204</v>
      </c>
      <c r="C10" s="10"/>
      <c r="D10" s="10"/>
      <c r="E10" s="10"/>
      <c r="F10" s="10"/>
      <c r="G10" s="11"/>
      <c r="H10" s="8">
        <f>N23</f>
        <v>0</v>
      </c>
      <c r="J10" s="36" t="s">
        <v>166</v>
      </c>
      <c r="K10" s="7">
        <v>0.5</v>
      </c>
      <c r="L10" s="7" t="s">
        <v>20</v>
      </c>
      <c r="M10" s="30">
        <v>80000</v>
      </c>
      <c r="N10" s="37">
        <f t="shared" si="0"/>
        <v>40000</v>
      </c>
    </row>
    <row r="11" spans="1:14" x14ac:dyDescent="0.25">
      <c r="A11" s="7">
        <v>4</v>
      </c>
      <c r="B11" s="9"/>
      <c r="C11" s="10"/>
      <c r="D11" s="10"/>
      <c r="E11" s="10"/>
      <c r="F11" s="10"/>
      <c r="G11" s="11"/>
      <c r="H11" s="8"/>
      <c r="J11" s="36" t="s">
        <v>176</v>
      </c>
      <c r="K11" s="7">
        <v>2</v>
      </c>
      <c r="L11" s="7" t="s">
        <v>20</v>
      </c>
      <c r="M11" s="30">
        <v>8000</v>
      </c>
      <c r="N11" s="37">
        <f t="shared" si="0"/>
        <v>16000</v>
      </c>
    </row>
    <row r="12" spans="1:14" x14ac:dyDescent="0.25">
      <c r="A12" s="7">
        <v>5</v>
      </c>
      <c r="B12" s="63"/>
      <c r="C12" s="64"/>
      <c r="D12" s="64"/>
      <c r="E12" s="64"/>
      <c r="F12" s="64"/>
      <c r="G12" s="65"/>
      <c r="H12" s="8"/>
      <c r="J12" s="36" t="s">
        <v>193</v>
      </c>
      <c r="K12" s="7">
        <v>9</v>
      </c>
      <c r="L12" s="7" t="s">
        <v>31</v>
      </c>
      <c r="M12" s="30">
        <v>5000</v>
      </c>
      <c r="N12" s="37">
        <f t="shared" si="0"/>
        <v>45000</v>
      </c>
    </row>
    <row r="13" spans="1:14" x14ac:dyDescent="0.25">
      <c r="A13" s="12"/>
      <c r="G13" s="13" t="s">
        <v>8</v>
      </c>
      <c r="H13" s="14">
        <f>SUM(H8:H12)</f>
        <v>840000</v>
      </c>
      <c r="J13" s="36" t="s">
        <v>29</v>
      </c>
      <c r="K13" s="7">
        <v>1</v>
      </c>
      <c r="L13" s="7" t="s">
        <v>70</v>
      </c>
      <c r="M13" s="30">
        <v>18000</v>
      </c>
      <c r="N13" s="37">
        <f t="shared" si="0"/>
        <v>18000</v>
      </c>
    </row>
    <row r="14" spans="1:14" x14ac:dyDescent="0.25">
      <c r="H14" s="18"/>
      <c r="J14" s="36" t="s">
        <v>194</v>
      </c>
      <c r="K14" s="7">
        <v>0.25</v>
      </c>
      <c r="L14" s="7" t="s">
        <v>20</v>
      </c>
      <c r="M14" s="30">
        <v>60000</v>
      </c>
      <c r="N14" s="37">
        <f t="shared" si="0"/>
        <v>15000</v>
      </c>
    </row>
    <row r="15" spans="1:14" x14ac:dyDescent="0.25">
      <c r="A15" s="15" t="s">
        <v>196</v>
      </c>
      <c r="H15" s="3"/>
      <c r="J15" s="36" t="s">
        <v>199</v>
      </c>
      <c r="K15" s="7">
        <v>1</v>
      </c>
      <c r="L15" s="7" t="s">
        <v>31</v>
      </c>
      <c r="M15" s="30">
        <v>12000</v>
      </c>
      <c r="N15" s="37">
        <f t="shared" si="0"/>
        <v>12000</v>
      </c>
    </row>
    <row r="16" spans="1:14" x14ac:dyDescent="0.25">
      <c r="J16" s="36" t="s">
        <v>200</v>
      </c>
      <c r="K16" s="7">
        <v>3</v>
      </c>
      <c r="L16" s="7" t="s">
        <v>31</v>
      </c>
      <c r="M16" s="30">
        <v>17000</v>
      </c>
      <c r="N16" s="37">
        <f t="shared" si="0"/>
        <v>51000</v>
      </c>
    </row>
    <row r="17" spans="1:14" x14ac:dyDescent="0.25">
      <c r="J17" s="36" t="s">
        <v>32</v>
      </c>
      <c r="K17" s="7">
        <v>3</v>
      </c>
      <c r="L17" s="7" t="s">
        <v>20</v>
      </c>
      <c r="M17" s="30">
        <v>10000</v>
      </c>
      <c r="N17" s="37">
        <f t="shared" si="0"/>
        <v>30000</v>
      </c>
    </row>
    <row r="18" spans="1:14" x14ac:dyDescent="0.25">
      <c r="A18" t="s">
        <v>10</v>
      </c>
      <c r="C18" s="61" t="s">
        <v>11</v>
      </c>
      <c r="D18" s="61"/>
      <c r="F18" s="61" t="s">
        <v>12</v>
      </c>
      <c r="G18" s="61"/>
      <c r="J18" s="44" t="s">
        <v>33</v>
      </c>
      <c r="K18" s="45">
        <v>2</v>
      </c>
      <c r="L18" s="45" t="s">
        <v>20</v>
      </c>
      <c r="M18" s="46">
        <v>12000</v>
      </c>
      <c r="N18" s="47">
        <f t="shared" si="0"/>
        <v>24000</v>
      </c>
    </row>
    <row r="19" spans="1:14" x14ac:dyDescent="0.25">
      <c r="G19" s="3"/>
      <c r="J19" s="44" t="s">
        <v>167</v>
      </c>
      <c r="K19" s="45">
        <v>5</v>
      </c>
      <c r="L19" s="45" t="s">
        <v>20</v>
      </c>
      <c r="M19" s="46">
        <v>8000</v>
      </c>
      <c r="N19" s="47">
        <f t="shared" si="0"/>
        <v>40000</v>
      </c>
    </row>
    <row r="20" spans="1:14" x14ac:dyDescent="0.25">
      <c r="G20" s="3"/>
      <c r="J20" s="44" t="s">
        <v>202</v>
      </c>
      <c r="K20" s="45">
        <v>2</v>
      </c>
      <c r="L20" s="45" t="s">
        <v>201</v>
      </c>
      <c r="M20" s="46">
        <v>3000</v>
      </c>
      <c r="N20" s="47">
        <f t="shared" si="0"/>
        <v>6000</v>
      </c>
    </row>
    <row r="21" spans="1:14" x14ac:dyDescent="0.25">
      <c r="G21" s="3"/>
      <c r="J21" s="29" t="s">
        <v>123</v>
      </c>
      <c r="K21" s="7">
        <v>6</v>
      </c>
      <c r="L21" s="7" t="s">
        <v>70</v>
      </c>
      <c r="M21" s="30">
        <v>43000</v>
      </c>
      <c r="N21" s="30">
        <f t="shared" si="0"/>
        <v>258000</v>
      </c>
    </row>
    <row r="22" spans="1:14" x14ac:dyDescent="0.25">
      <c r="A22" t="s">
        <v>197</v>
      </c>
      <c r="C22" s="61" t="s">
        <v>14</v>
      </c>
      <c r="D22" s="61"/>
      <c r="F22" s="61" t="s">
        <v>15</v>
      </c>
      <c r="G22" s="61"/>
      <c r="J22" s="29" t="s">
        <v>174</v>
      </c>
      <c r="K22" s="7">
        <v>1</v>
      </c>
      <c r="L22" s="7" t="s">
        <v>195</v>
      </c>
      <c r="M22" s="30">
        <v>20000</v>
      </c>
      <c r="N22" s="30">
        <f t="shared" si="0"/>
        <v>20000</v>
      </c>
    </row>
    <row r="23" spans="1:14" x14ac:dyDescent="0.25">
      <c r="J23" s="54"/>
      <c r="K23" s="66" t="s">
        <v>101</v>
      </c>
      <c r="L23" s="66"/>
      <c r="M23" s="66"/>
      <c r="N23" s="55">
        <f>SUM(N25:N47)</f>
        <v>0</v>
      </c>
    </row>
    <row r="24" spans="1:14" x14ac:dyDescent="0.25">
      <c r="J24" s="34" t="s">
        <v>105</v>
      </c>
      <c r="K24" s="31" t="s">
        <v>116</v>
      </c>
      <c r="L24" s="31"/>
      <c r="M24" s="32" t="s">
        <v>117</v>
      </c>
      <c r="N24" s="35" t="s">
        <v>8</v>
      </c>
    </row>
    <row r="25" spans="1:14" x14ac:dyDescent="0.25">
      <c r="J25" s="29"/>
      <c r="K25" s="7"/>
      <c r="L25" s="7"/>
      <c r="M25" s="30"/>
      <c r="N25" s="30">
        <f>M25*K25</f>
        <v>0</v>
      </c>
    </row>
    <row r="26" spans="1:14" x14ac:dyDescent="0.25">
      <c r="J26" s="29"/>
      <c r="K26" s="7"/>
      <c r="L26" s="7"/>
      <c r="M26" s="30"/>
      <c r="N26" s="30">
        <f>M26*K26</f>
        <v>0</v>
      </c>
    </row>
    <row r="27" spans="1:14" x14ac:dyDescent="0.25">
      <c r="J27" s="29"/>
      <c r="K27" s="7"/>
      <c r="L27" s="7"/>
      <c r="M27" s="30"/>
      <c r="N27" s="30">
        <f>M27*K27</f>
        <v>0</v>
      </c>
    </row>
    <row r="28" spans="1:14" x14ac:dyDescent="0.25">
      <c r="J28" s="29"/>
      <c r="K28" s="7"/>
      <c r="L28" s="7"/>
      <c r="M28" s="30"/>
      <c r="N28" s="30">
        <f>M28*K28</f>
        <v>0</v>
      </c>
    </row>
    <row r="29" spans="1:14" x14ac:dyDescent="0.25">
      <c r="J29" s="29"/>
      <c r="K29" s="7"/>
      <c r="L29" s="7"/>
      <c r="M29" s="30"/>
      <c r="N29" s="30">
        <f>M29*K29</f>
        <v>0</v>
      </c>
    </row>
    <row r="30" spans="1:14" x14ac:dyDescent="0.25">
      <c r="J30" s="29"/>
      <c r="K30" s="7"/>
      <c r="L30" s="7"/>
      <c r="M30" s="30"/>
      <c r="N30" s="30"/>
    </row>
    <row r="31" spans="1:14" x14ac:dyDescent="0.25">
      <c r="J31" s="29"/>
      <c r="K31" s="7"/>
      <c r="L31" s="7"/>
      <c r="M31" s="30"/>
      <c r="N31" s="30"/>
    </row>
    <row r="32" spans="1:14" x14ac:dyDescent="0.25">
      <c r="J32" s="29"/>
      <c r="K32" s="7"/>
      <c r="L32" s="7"/>
      <c r="M32" s="30"/>
      <c r="N32" s="30"/>
    </row>
    <row r="33" spans="12:12" x14ac:dyDescent="0.25">
      <c r="L33" s="12"/>
    </row>
  </sheetData>
  <mergeCells count="15">
    <mergeCell ref="C22:D22"/>
    <mergeCell ref="F22:G22"/>
    <mergeCell ref="K23:M23"/>
    <mergeCell ref="B7:G7"/>
    <mergeCell ref="B8:G8"/>
    <mergeCell ref="B9:G9"/>
    <mergeCell ref="B12:G12"/>
    <mergeCell ref="C18:D18"/>
    <mergeCell ref="F18:G18"/>
    <mergeCell ref="A5:H5"/>
    <mergeCell ref="K1:M1"/>
    <mergeCell ref="A2:B2"/>
    <mergeCell ref="F2:G2"/>
    <mergeCell ref="A3:B3"/>
    <mergeCell ref="A4:B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C784-A1C0-41C2-9623-749D151AAA5B}">
  <dimension ref="A1:N43"/>
  <sheetViews>
    <sheetView topLeftCell="A9" workbookViewId="0">
      <selection activeCell="M20" sqref="M20"/>
    </sheetView>
  </sheetViews>
  <sheetFormatPr defaultRowHeight="15" x14ac:dyDescent="0.25"/>
  <cols>
    <col min="3" max="3" width="12.85546875" bestFit="1" customWidth="1"/>
    <col min="8" max="8" width="13.28515625" bestFit="1" customWidth="1"/>
    <col min="10" max="10" width="20.7109375" bestFit="1" customWidth="1"/>
  </cols>
  <sheetData>
    <row r="1" spans="1:14" x14ac:dyDescent="0.25">
      <c r="K1" s="12"/>
      <c r="L1" s="12"/>
      <c r="M1" s="20"/>
      <c r="N1" s="20"/>
    </row>
    <row r="2" spans="1:14" ht="19.5" thickBot="1" x14ac:dyDescent="0.35">
      <c r="A2" s="58" t="s">
        <v>109</v>
      </c>
      <c r="B2" s="58"/>
      <c r="C2" s="58"/>
      <c r="D2" s="58"/>
      <c r="E2" s="58"/>
      <c r="F2" s="58"/>
      <c r="G2" s="58"/>
      <c r="H2" s="58"/>
      <c r="K2" s="12"/>
      <c r="L2" s="12"/>
      <c r="M2" s="20"/>
      <c r="N2" s="20"/>
    </row>
    <row r="3" spans="1:14" x14ac:dyDescent="0.25">
      <c r="J3" s="33" t="s">
        <v>130</v>
      </c>
      <c r="K3" s="56" t="s">
        <v>101</v>
      </c>
      <c r="L3" s="56"/>
      <c r="M3" s="56"/>
      <c r="N3" s="42">
        <f>SUM(N5:N23)</f>
        <v>645000</v>
      </c>
    </row>
    <row r="4" spans="1:14" x14ac:dyDescent="0.25">
      <c r="A4" s="59" t="s">
        <v>1</v>
      </c>
      <c r="B4" s="59"/>
      <c r="C4" s="1" t="s">
        <v>205</v>
      </c>
      <c r="F4" s="60" t="s">
        <v>3</v>
      </c>
      <c r="G4" s="60"/>
      <c r="H4" s="2">
        <f ca="1">TODAY()</f>
        <v>46147</v>
      </c>
      <c r="J4" s="34" t="s">
        <v>105</v>
      </c>
      <c r="K4" s="31" t="s">
        <v>116</v>
      </c>
      <c r="L4" s="31"/>
      <c r="M4" s="32" t="s">
        <v>117</v>
      </c>
      <c r="N4" s="35" t="s">
        <v>8</v>
      </c>
    </row>
    <row r="5" spans="1:14" x14ac:dyDescent="0.25">
      <c r="A5" s="59" t="s">
        <v>4</v>
      </c>
      <c r="B5" s="59"/>
      <c r="C5" t="s">
        <v>5</v>
      </c>
      <c r="H5" s="3"/>
      <c r="J5" s="36" t="s">
        <v>115</v>
      </c>
      <c r="K5" s="7">
        <v>6</v>
      </c>
      <c r="L5" s="7" t="s">
        <v>20</v>
      </c>
      <c r="M5" s="30">
        <v>8000</v>
      </c>
      <c r="N5" s="37">
        <f>M5*K5</f>
        <v>48000</v>
      </c>
    </row>
    <row r="6" spans="1:14" x14ac:dyDescent="0.25">
      <c r="A6" s="59" t="s">
        <v>6</v>
      </c>
      <c r="B6" s="59"/>
      <c r="C6" s="4">
        <f>H15</f>
        <v>901000</v>
      </c>
      <c r="H6" s="3"/>
      <c r="J6" s="36" t="s">
        <v>118</v>
      </c>
      <c r="K6" s="7">
        <v>3</v>
      </c>
      <c r="L6" s="7" t="s">
        <v>119</v>
      </c>
      <c r="M6" s="30">
        <v>8000</v>
      </c>
      <c r="N6" s="37">
        <f t="shared" ref="N6:N24" si="0">M6*K6</f>
        <v>24000</v>
      </c>
    </row>
    <row r="7" spans="1:14" x14ac:dyDescent="0.25">
      <c r="A7" s="57" t="s">
        <v>111</v>
      </c>
      <c r="B7" s="57"/>
      <c r="C7" s="57"/>
      <c r="D7" s="57"/>
      <c r="E7" s="57"/>
      <c r="F7" s="57"/>
      <c r="G7" s="57"/>
      <c r="H7" s="57"/>
      <c r="J7" s="36" t="s">
        <v>159</v>
      </c>
      <c r="K7" s="7">
        <v>0.5</v>
      </c>
      <c r="L7" s="7" t="s">
        <v>20</v>
      </c>
      <c r="M7" s="30">
        <v>12000</v>
      </c>
      <c r="N7" s="37">
        <f t="shared" si="0"/>
        <v>6000</v>
      </c>
    </row>
    <row r="8" spans="1:14" x14ac:dyDescent="0.25">
      <c r="J8" s="36" t="s">
        <v>28</v>
      </c>
      <c r="K8" s="7">
        <v>1</v>
      </c>
      <c r="L8" s="7" t="s">
        <v>20</v>
      </c>
      <c r="M8" s="30">
        <v>10000</v>
      </c>
      <c r="N8" s="37">
        <f t="shared" si="0"/>
        <v>10000</v>
      </c>
    </row>
    <row r="9" spans="1:14" x14ac:dyDescent="0.25">
      <c r="A9" s="5" t="s">
        <v>0</v>
      </c>
      <c r="B9" s="62" t="s">
        <v>7</v>
      </c>
      <c r="C9" s="62"/>
      <c r="D9" s="62"/>
      <c r="E9" s="62"/>
      <c r="F9" s="62"/>
      <c r="G9" s="62"/>
      <c r="H9" s="6" t="s">
        <v>6</v>
      </c>
      <c r="J9" s="36" t="s">
        <v>214</v>
      </c>
      <c r="K9" s="7">
        <v>120</v>
      </c>
      <c r="L9" s="7" t="s">
        <v>70</v>
      </c>
      <c r="M9" s="30">
        <v>500</v>
      </c>
      <c r="N9" s="37">
        <f t="shared" si="0"/>
        <v>60000</v>
      </c>
    </row>
    <row r="10" spans="1:14" x14ac:dyDescent="0.25">
      <c r="A10" s="7">
        <v>1</v>
      </c>
      <c r="B10" s="63" t="s">
        <v>211</v>
      </c>
      <c r="C10" s="64"/>
      <c r="D10" s="64"/>
      <c r="E10" s="64"/>
      <c r="F10" s="64"/>
      <c r="G10" s="65"/>
      <c r="H10" s="8">
        <f>N3</f>
        <v>645000</v>
      </c>
      <c r="J10" s="36" t="s">
        <v>121</v>
      </c>
      <c r="K10" s="7">
        <v>6</v>
      </c>
      <c r="L10" s="7" t="s">
        <v>165</v>
      </c>
      <c r="M10" s="30">
        <v>10000</v>
      </c>
      <c r="N10" s="37">
        <f t="shared" si="0"/>
        <v>60000</v>
      </c>
    </row>
    <row r="11" spans="1:14" x14ac:dyDescent="0.25">
      <c r="A11" s="7">
        <v>2</v>
      </c>
      <c r="B11" s="63"/>
      <c r="C11" s="64"/>
      <c r="D11" s="64"/>
      <c r="E11" s="64"/>
      <c r="F11" s="64"/>
      <c r="G11" s="65"/>
      <c r="H11" s="8"/>
      <c r="J11" s="36" t="s">
        <v>148</v>
      </c>
      <c r="K11" s="7">
        <v>1</v>
      </c>
      <c r="L11" s="7" t="s">
        <v>20</v>
      </c>
      <c r="M11" s="30">
        <v>11000</v>
      </c>
      <c r="N11" s="37">
        <f t="shared" si="0"/>
        <v>11000</v>
      </c>
    </row>
    <row r="12" spans="1:14" x14ac:dyDescent="0.25">
      <c r="A12" s="7">
        <v>3</v>
      </c>
      <c r="B12" s="9" t="s">
        <v>212</v>
      </c>
      <c r="C12" s="10"/>
      <c r="D12" s="10"/>
      <c r="E12" s="10"/>
      <c r="F12" s="10"/>
      <c r="G12" s="11"/>
      <c r="H12" s="8">
        <f>N25</f>
        <v>256000</v>
      </c>
      <c r="J12" s="36" t="s">
        <v>166</v>
      </c>
      <c r="K12" s="7">
        <v>1</v>
      </c>
      <c r="L12" s="7" t="s">
        <v>20</v>
      </c>
      <c r="M12" s="30">
        <v>80000</v>
      </c>
      <c r="N12" s="37">
        <f t="shared" si="0"/>
        <v>80000</v>
      </c>
    </row>
    <row r="13" spans="1:14" x14ac:dyDescent="0.25">
      <c r="A13" s="7">
        <v>4</v>
      </c>
      <c r="B13" s="9"/>
      <c r="C13" s="10"/>
      <c r="D13" s="10"/>
      <c r="E13" s="10"/>
      <c r="F13" s="10"/>
      <c r="G13" s="11"/>
      <c r="H13" s="8"/>
      <c r="J13" s="36" t="s">
        <v>176</v>
      </c>
      <c r="K13" s="7">
        <v>2</v>
      </c>
      <c r="L13" s="7" t="s">
        <v>20</v>
      </c>
      <c r="M13" s="30">
        <v>8000</v>
      </c>
      <c r="N13" s="37">
        <f t="shared" si="0"/>
        <v>16000</v>
      </c>
    </row>
    <row r="14" spans="1:14" x14ac:dyDescent="0.25">
      <c r="A14" s="7">
        <v>5</v>
      </c>
      <c r="B14" s="63"/>
      <c r="C14" s="64"/>
      <c r="D14" s="64"/>
      <c r="E14" s="64"/>
      <c r="F14" s="64"/>
      <c r="G14" s="65"/>
      <c r="H14" s="8"/>
      <c r="J14" s="36" t="s">
        <v>193</v>
      </c>
      <c r="K14" s="7">
        <v>6</v>
      </c>
      <c r="L14" s="7" t="s">
        <v>31</v>
      </c>
      <c r="M14" s="30">
        <v>5000</v>
      </c>
      <c r="N14" s="37">
        <f t="shared" si="0"/>
        <v>30000</v>
      </c>
    </row>
    <row r="15" spans="1:14" x14ac:dyDescent="0.25">
      <c r="A15" s="12"/>
      <c r="G15" s="13" t="s">
        <v>8</v>
      </c>
      <c r="H15" s="14">
        <f>SUM(H10:H14)</f>
        <v>901000</v>
      </c>
      <c r="J15" s="36" t="s">
        <v>216</v>
      </c>
      <c r="K15" s="7">
        <v>2</v>
      </c>
      <c r="L15" s="7" t="s">
        <v>31</v>
      </c>
      <c r="M15" s="30">
        <v>12000</v>
      </c>
      <c r="N15" s="37">
        <f t="shared" si="0"/>
        <v>24000</v>
      </c>
    </row>
    <row r="16" spans="1:14" x14ac:dyDescent="0.25">
      <c r="H16" s="18"/>
      <c r="J16" s="36" t="s">
        <v>194</v>
      </c>
      <c r="K16" s="7">
        <v>0.5</v>
      </c>
      <c r="L16" s="7" t="s">
        <v>20</v>
      </c>
      <c r="M16" s="30">
        <v>60000</v>
      </c>
      <c r="N16" s="37">
        <f t="shared" si="0"/>
        <v>30000</v>
      </c>
    </row>
    <row r="17" spans="1:14" x14ac:dyDescent="0.25">
      <c r="A17" s="15" t="s">
        <v>196</v>
      </c>
      <c r="H17" s="3"/>
      <c r="J17" s="36" t="s">
        <v>123</v>
      </c>
      <c r="K17" s="7">
        <v>1</v>
      </c>
      <c r="L17" s="7" t="s">
        <v>57</v>
      </c>
      <c r="M17" s="30">
        <v>43000</v>
      </c>
      <c r="N17" s="37">
        <f t="shared" si="0"/>
        <v>43000</v>
      </c>
    </row>
    <row r="18" spans="1:14" x14ac:dyDescent="0.25">
      <c r="J18" s="36" t="s">
        <v>215</v>
      </c>
      <c r="K18" s="7">
        <v>2</v>
      </c>
      <c r="L18" s="7" t="s">
        <v>31</v>
      </c>
      <c r="M18" s="30">
        <v>13000</v>
      </c>
      <c r="N18" s="37">
        <f t="shared" si="0"/>
        <v>26000</v>
      </c>
    </row>
    <row r="19" spans="1:14" x14ac:dyDescent="0.25">
      <c r="J19" s="36" t="s">
        <v>23</v>
      </c>
      <c r="K19" s="7">
        <v>6</v>
      </c>
      <c r="L19" s="7" t="s">
        <v>24</v>
      </c>
      <c r="M19" s="30">
        <v>11000</v>
      </c>
      <c r="N19" s="37">
        <f t="shared" si="0"/>
        <v>66000</v>
      </c>
    </row>
    <row r="20" spans="1:14" x14ac:dyDescent="0.25">
      <c r="A20" t="s">
        <v>10</v>
      </c>
      <c r="C20" s="61" t="s">
        <v>11</v>
      </c>
      <c r="D20" s="61"/>
      <c r="F20" s="61" t="s">
        <v>12</v>
      </c>
      <c r="G20" s="61"/>
      <c r="J20" s="44" t="s">
        <v>217</v>
      </c>
      <c r="K20" s="45">
        <v>6</v>
      </c>
      <c r="L20" s="45" t="s">
        <v>24</v>
      </c>
      <c r="M20" s="46">
        <v>11000</v>
      </c>
      <c r="N20" s="47">
        <f t="shared" si="0"/>
        <v>66000</v>
      </c>
    </row>
    <row r="21" spans="1:14" x14ac:dyDescent="0.25">
      <c r="G21" s="3"/>
      <c r="J21" s="44" t="s">
        <v>35</v>
      </c>
      <c r="K21" s="45">
        <v>2</v>
      </c>
      <c r="L21" s="45" t="s">
        <v>24</v>
      </c>
      <c r="M21" s="46">
        <v>11000</v>
      </c>
      <c r="N21" s="47">
        <f t="shared" si="0"/>
        <v>22000</v>
      </c>
    </row>
    <row r="22" spans="1:14" x14ac:dyDescent="0.25">
      <c r="G22" s="3"/>
      <c r="J22" s="44" t="s">
        <v>175</v>
      </c>
      <c r="K22" s="45">
        <v>1</v>
      </c>
      <c r="L22" s="45" t="s">
        <v>57</v>
      </c>
      <c r="M22" s="46">
        <v>3000</v>
      </c>
      <c r="N22" s="47">
        <f t="shared" si="0"/>
        <v>3000</v>
      </c>
    </row>
    <row r="23" spans="1:14" x14ac:dyDescent="0.25">
      <c r="G23" s="3"/>
      <c r="J23" s="29" t="s">
        <v>174</v>
      </c>
      <c r="K23" s="7">
        <v>1</v>
      </c>
      <c r="L23" s="7" t="s">
        <v>195</v>
      </c>
      <c r="M23" s="30">
        <v>20000</v>
      </c>
      <c r="N23" s="30">
        <f t="shared" si="0"/>
        <v>20000</v>
      </c>
    </row>
    <row r="24" spans="1:14" x14ac:dyDescent="0.25">
      <c r="A24" t="s">
        <v>197</v>
      </c>
      <c r="C24" s="61" t="s">
        <v>14</v>
      </c>
      <c r="D24" s="61"/>
      <c r="F24" s="61" t="s">
        <v>15</v>
      </c>
      <c r="G24" s="61"/>
      <c r="J24" s="29"/>
      <c r="K24" s="7"/>
      <c r="L24" s="7"/>
      <c r="M24" s="30"/>
      <c r="N24" s="30">
        <f t="shared" si="0"/>
        <v>0</v>
      </c>
    </row>
    <row r="25" spans="1:14" x14ac:dyDescent="0.25">
      <c r="J25" s="54"/>
      <c r="K25" s="66" t="s">
        <v>101</v>
      </c>
      <c r="L25" s="66"/>
      <c r="M25" s="66"/>
      <c r="N25" s="55">
        <f>SUM(N27:N49)</f>
        <v>256000</v>
      </c>
    </row>
    <row r="26" spans="1:14" x14ac:dyDescent="0.25">
      <c r="J26" s="34" t="s">
        <v>105</v>
      </c>
      <c r="K26" s="31" t="s">
        <v>116</v>
      </c>
      <c r="L26" s="31"/>
      <c r="M26" s="32" t="s">
        <v>117</v>
      </c>
      <c r="N26" s="35" t="s">
        <v>8</v>
      </c>
    </row>
    <row r="27" spans="1:14" x14ac:dyDescent="0.25">
      <c r="J27" s="29" t="s">
        <v>218</v>
      </c>
      <c r="K27" s="7">
        <v>1</v>
      </c>
      <c r="L27" s="7"/>
      <c r="M27" s="30">
        <v>150000</v>
      </c>
      <c r="N27" s="30">
        <f t="shared" ref="N27:N32" si="1">M27*K27</f>
        <v>150000</v>
      </c>
    </row>
    <row r="28" spans="1:14" x14ac:dyDescent="0.25">
      <c r="J28" s="29" t="s">
        <v>219</v>
      </c>
      <c r="K28" s="7">
        <v>10</v>
      </c>
      <c r="L28" s="7"/>
      <c r="M28" s="30">
        <v>5500</v>
      </c>
      <c r="N28" s="30">
        <f t="shared" si="1"/>
        <v>55000</v>
      </c>
    </row>
    <row r="29" spans="1:14" x14ac:dyDescent="0.25">
      <c r="J29" s="29" t="s">
        <v>34</v>
      </c>
      <c r="K29" s="7">
        <v>2</v>
      </c>
      <c r="L29" s="7"/>
      <c r="M29" s="30">
        <v>13000</v>
      </c>
      <c r="N29" s="30">
        <f t="shared" si="1"/>
        <v>26000</v>
      </c>
    </row>
    <row r="30" spans="1:14" x14ac:dyDescent="0.25">
      <c r="J30" s="29" t="s">
        <v>220</v>
      </c>
      <c r="K30" s="7">
        <v>1</v>
      </c>
      <c r="L30" s="7"/>
      <c r="M30" s="30">
        <v>14000</v>
      </c>
      <c r="N30" s="30">
        <f t="shared" si="1"/>
        <v>14000</v>
      </c>
    </row>
    <row r="31" spans="1:14" x14ac:dyDescent="0.25">
      <c r="J31" s="29" t="s">
        <v>221</v>
      </c>
      <c r="K31" s="7">
        <v>0.5</v>
      </c>
      <c r="L31" s="7"/>
      <c r="M31" s="30">
        <v>22000</v>
      </c>
      <c r="N31" s="30">
        <f t="shared" si="1"/>
        <v>11000</v>
      </c>
    </row>
    <row r="32" spans="1:14" x14ac:dyDescent="0.25">
      <c r="J32" s="29"/>
      <c r="K32" s="7"/>
      <c r="L32" s="7"/>
      <c r="M32" s="30"/>
      <c r="N32" s="30">
        <f t="shared" si="1"/>
        <v>0</v>
      </c>
    </row>
    <row r="33" spans="10:14" x14ac:dyDescent="0.25">
      <c r="J33" s="29"/>
      <c r="K33" s="7"/>
      <c r="L33" s="7"/>
      <c r="M33" s="30"/>
      <c r="N33" s="30"/>
    </row>
    <row r="34" spans="10:14" x14ac:dyDescent="0.25">
      <c r="J34" s="29"/>
      <c r="K34" s="7"/>
      <c r="L34" s="7"/>
      <c r="M34" s="30"/>
      <c r="N34" s="30"/>
    </row>
    <row r="35" spans="10:14" x14ac:dyDescent="0.25">
      <c r="L35" s="12"/>
    </row>
    <row r="36" spans="10:14" x14ac:dyDescent="0.25">
      <c r="L36" s="12"/>
    </row>
    <row r="37" spans="10:14" x14ac:dyDescent="0.25">
      <c r="L37" s="12"/>
    </row>
    <row r="38" spans="10:14" x14ac:dyDescent="0.25">
      <c r="L38" s="12"/>
    </row>
    <row r="39" spans="10:14" x14ac:dyDescent="0.25">
      <c r="L39" s="12"/>
    </row>
    <row r="40" spans="10:14" x14ac:dyDescent="0.25">
      <c r="L40" s="12"/>
    </row>
    <row r="41" spans="10:14" x14ac:dyDescent="0.25">
      <c r="L41" s="12"/>
    </row>
    <row r="42" spans="10:14" x14ac:dyDescent="0.25">
      <c r="L42" s="12"/>
    </row>
    <row r="43" spans="10:14" x14ac:dyDescent="0.25">
      <c r="L43" s="12"/>
    </row>
  </sheetData>
  <mergeCells count="16">
    <mergeCell ref="A6:B6"/>
    <mergeCell ref="A2:H2"/>
    <mergeCell ref="K3:M3"/>
    <mergeCell ref="A4:B4"/>
    <mergeCell ref="F4:G4"/>
    <mergeCell ref="A5:B5"/>
    <mergeCell ref="C24:D24"/>
    <mergeCell ref="F24:G24"/>
    <mergeCell ref="K25:M25"/>
    <mergeCell ref="A7:H7"/>
    <mergeCell ref="B9:G9"/>
    <mergeCell ref="B10:G10"/>
    <mergeCell ref="B11:G11"/>
    <mergeCell ref="B14:G14"/>
    <mergeCell ref="C20:D20"/>
    <mergeCell ref="F20:G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3799-CB55-4877-B239-60052C1B0BFE}">
  <dimension ref="A1:N24"/>
  <sheetViews>
    <sheetView workbookViewId="0">
      <selection activeCell="O1" sqref="A1:O25"/>
    </sheetView>
  </sheetViews>
  <sheetFormatPr defaultRowHeight="15" x14ac:dyDescent="0.25"/>
  <cols>
    <col min="3" max="3" width="12.85546875" bestFit="1" customWidth="1"/>
    <col min="8" max="8" width="11.5703125" bestFit="1" customWidth="1"/>
    <col min="10" max="10" width="19.42578125" bestFit="1" customWidth="1"/>
  </cols>
  <sheetData>
    <row r="1" spans="1:14" x14ac:dyDescent="0.25">
      <c r="K1" s="12"/>
      <c r="L1" s="12"/>
      <c r="M1" s="20"/>
      <c r="N1" s="20"/>
    </row>
    <row r="2" spans="1:14" ht="19.5" thickBot="1" x14ac:dyDescent="0.35">
      <c r="A2" s="58" t="s">
        <v>109</v>
      </c>
      <c r="B2" s="58"/>
      <c r="C2" s="58"/>
      <c r="D2" s="58"/>
      <c r="E2" s="58"/>
      <c r="F2" s="58"/>
      <c r="G2" s="58"/>
      <c r="H2" s="58"/>
      <c r="K2" s="12"/>
      <c r="L2" s="12"/>
      <c r="M2" s="20"/>
      <c r="N2" s="20"/>
    </row>
    <row r="3" spans="1:14" x14ac:dyDescent="0.25">
      <c r="J3" s="33" t="s">
        <v>130</v>
      </c>
      <c r="K3" s="56" t="s">
        <v>101</v>
      </c>
      <c r="L3" s="56"/>
      <c r="M3" s="56"/>
      <c r="N3" s="42">
        <f>SUM(N5:N17)</f>
        <v>577500</v>
      </c>
    </row>
    <row r="4" spans="1:14" x14ac:dyDescent="0.25">
      <c r="A4" s="59" t="s">
        <v>1</v>
      </c>
      <c r="B4" s="59"/>
      <c r="C4" s="1" t="s">
        <v>205</v>
      </c>
      <c r="F4" s="60" t="s">
        <v>3</v>
      </c>
      <c r="G4" s="60"/>
      <c r="H4" s="2">
        <f ca="1">TODAY()</f>
        <v>46147</v>
      </c>
      <c r="J4" s="34" t="s">
        <v>105</v>
      </c>
      <c r="K4" s="31" t="s">
        <v>116</v>
      </c>
      <c r="L4" s="31"/>
      <c r="M4" s="32" t="s">
        <v>117</v>
      </c>
      <c r="N4" s="35" t="s">
        <v>8</v>
      </c>
    </row>
    <row r="5" spans="1:14" x14ac:dyDescent="0.25">
      <c r="A5" s="59" t="s">
        <v>4</v>
      </c>
      <c r="B5" s="59"/>
      <c r="C5" t="s">
        <v>5</v>
      </c>
      <c r="H5" s="3"/>
      <c r="J5" s="36" t="s">
        <v>115</v>
      </c>
      <c r="K5" s="7">
        <v>7</v>
      </c>
      <c r="L5" s="7" t="s">
        <v>20</v>
      </c>
      <c r="M5" s="30">
        <v>8000</v>
      </c>
      <c r="N5" s="37">
        <f>M5*K5</f>
        <v>56000</v>
      </c>
    </row>
    <row r="6" spans="1:14" x14ac:dyDescent="0.25">
      <c r="A6" s="59" t="s">
        <v>6</v>
      </c>
      <c r="B6" s="59"/>
      <c r="C6" s="4">
        <f>H15</f>
        <v>577500</v>
      </c>
      <c r="H6" s="3"/>
      <c r="J6" s="36" t="s">
        <v>118</v>
      </c>
      <c r="K6" s="7">
        <v>4</v>
      </c>
      <c r="L6" s="7" t="s">
        <v>119</v>
      </c>
      <c r="M6" s="30">
        <v>8000</v>
      </c>
      <c r="N6" s="37">
        <f t="shared" ref="N6:N17" si="0">M6*K6</f>
        <v>32000</v>
      </c>
    </row>
    <row r="7" spans="1:14" x14ac:dyDescent="0.25">
      <c r="A7" s="57" t="s">
        <v>111</v>
      </c>
      <c r="B7" s="57"/>
      <c r="C7" s="57"/>
      <c r="D7" s="57"/>
      <c r="E7" s="57"/>
      <c r="F7" s="57"/>
      <c r="G7" s="57"/>
      <c r="H7" s="57"/>
      <c r="J7" s="36" t="s">
        <v>159</v>
      </c>
      <c r="K7" s="7">
        <v>0.5</v>
      </c>
      <c r="L7" s="7" t="s">
        <v>20</v>
      </c>
      <c r="M7" s="30">
        <v>12000</v>
      </c>
      <c r="N7" s="37">
        <f t="shared" si="0"/>
        <v>6000</v>
      </c>
    </row>
    <row r="8" spans="1:14" x14ac:dyDescent="0.25">
      <c r="J8" s="36" t="s">
        <v>223</v>
      </c>
      <c r="K8" s="7">
        <v>0.25</v>
      </c>
      <c r="L8" s="7" t="s">
        <v>20</v>
      </c>
      <c r="M8" s="30">
        <v>10000</v>
      </c>
      <c r="N8" s="37">
        <f t="shared" si="0"/>
        <v>2500</v>
      </c>
    </row>
    <row r="9" spans="1:14" x14ac:dyDescent="0.25">
      <c r="A9" s="5" t="s">
        <v>0</v>
      </c>
      <c r="B9" s="62" t="s">
        <v>7</v>
      </c>
      <c r="C9" s="62"/>
      <c r="D9" s="62"/>
      <c r="E9" s="62"/>
      <c r="F9" s="62"/>
      <c r="G9" s="62"/>
      <c r="H9" s="6" t="s">
        <v>6</v>
      </c>
      <c r="J9" s="36" t="s">
        <v>224</v>
      </c>
      <c r="K9" s="7">
        <v>2</v>
      </c>
      <c r="L9" s="7" t="s">
        <v>20</v>
      </c>
      <c r="M9" s="30">
        <v>23000</v>
      </c>
      <c r="N9" s="37">
        <f t="shared" si="0"/>
        <v>46000</v>
      </c>
    </row>
    <row r="10" spans="1:14" x14ac:dyDescent="0.25">
      <c r="A10" s="7">
        <v>1</v>
      </c>
      <c r="B10" s="63" t="s">
        <v>222</v>
      </c>
      <c r="C10" s="64"/>
      <c r="D10" s="64"/>
      <c r="E10" s="64"/>
      <c r="F10" s="64"/>
      <c r="G10" s="65"/>
      <c r="H10" s="8">
        <f>N3</f>
        <v>577500</v>
      </c>
      <c r="J10" s="36" t="s">
        <v>121</v>
      </c>
      <c r="K10" s="7">
        <v>6</v>
      </c>
      <c r="L10" s="7" t="s">
        <v>165</v>
      </c>
      <c r="M10" s="30">
        <v>10000</v>
      </c>
      <c r="N10" s="37">
        <f t="shared" si="0"/>
        <v>60000</v>
      </c>
    </row>
    <row r="11" spans="1:14" x14ac:dyDescent="0.25">
      <c r="A11" s="7">
        <v>2</v>
      </c>
      <c r="B11" s="63"/>
      <c r="C11" s="64"/>
      <c r="D11" s="64"/>
      <c r="E11" s="64"/>
      <c r="F11" s="64"/>
      <c r="G11" s="65"/>
      <c r="H11" s="8"/>
      <c r="J11" s="36" t="s">
        <v>193</v>
      </c>
      <c r="K11" s="7">
        <v>9</v>
      </c>
      <c r="L11" s="7" t="s">
        <v>31</v>
      </c>
      <c r="M11" s="30">
        <v>5000</v>
      </c>
      <c r="N11" s="37">
        <f t="shared" si="0"/>
        <v>45000</v>
      </c>
    </row>
    <row r="12" spans="1:14" x14ac:dyDescent="0.25">
      <c r="A12" s="7">
        <v>3</v>
      </c>
      <c r="B12" s="9"/>
      <c r="C12" s="10"/>
      <c r="D12" s="10"/>
      <c r="E12" s="10"/>
      <c r="F12" s="10"/>
      <c r="G12" s="11"/>
      <c r="H12" s="8"/>
      <c r="J12" s="36" t="s">
        <v>176</v>
      </c>
      <c r="K12" s="7">
        <v>3</v>
      </c>
      <c r="L12" s="7" t="s">
        <v>20</v>
      </c>
      <c r="M12" s="30">
        <v>8000</v>
      </c>
      <c r="N12" s="37">
        <f t="shared" si="0"/>
        <v>24000</v>
      </c>
    </row>
    <row r="13" spans="1:14" x14ac:dyDescent="0.25">
      <c r="A13" s="7">
        <v>4</v>
      </c>
      <c r="B13" s="9"/>
      <c r="C13" s="10"/>
      <c r="D13" s="10"/>
      <c r="E13" s="10"/>
      <c r="F13" s="10"/>
      <c r="G13" s="11"/>
      <c r="H13" s="8"/>
      <c r="J13" s="36" t="s">
        <v>225</v>
      </c>
      <c r="K13" s="7">
        <v>25</v>
      </c>
      <c r="L13" s="7" t="s">
        <v>20</v>
      </c>
      <c r="M13" s="30">
        <v>9000</v>
      </c>
      <c r="N13" s="37">
        <f t="shared" si="0"/>
        <v>225000</v>
      </c>
    </row>
    <row r="14" spans="1:14" x14ac:dyDescent="0.25">
      <c r="A14" s="7">
        <v>5</v>
      </c>
      <c r="B14" s="63"/>
      <c r="C14" s="64"/>
      <c r="D14" s="64"/>
      <c r="E14" s="64"/>
      <c r="F14" s="64"/>
      <c r="G14" s="65"/>
      <c r="H14" s="8"/>
      <c r="J14" s="36" t="s">
        <v>167</v>
      </c>
      <c r="K14" s="7">
        <v>6</v>
      </c>
      <c r="L14" s="7" t="s">
        <v>20</v>
      </c>
      <c r="M14" s="30">
        <v>5000</v>
      </c>
      <c r="N14" s="37">
        <f t="shared" si="0"/>
        <v>30000</v>
      </c>
    </row>
    <row r="15" spans="1:14" x14ac:dyDescent="0.25">
      <c r="A15" s="12"/>
      <c r="G15" s="13" t="s">
        <v>8</v>
      </c>
      <c r="H15" s="14">
        <f>SUM(H10:H14)</f>
        <v>577500</v>
      </c>
      <c r="J15" s="36" t="s">
        <v>123</v>
      </c>
      <c r="K15" s="7">
        <v>2</v>
      </c>
      <c r="L15" s="7" t="s">
        <v>31</v>
      </c>
      <c r="M15" s="30">
        <v>12000</v>
      </c>
      <c r="N15" s="37">
        <f t="shared" si="0"/>
        <v>24000</v>
      </c>
    </row>
    <row r="16" spans="1:14" x14ac:dyDescent="0.25">
      <c r="H16" s="18"/>
      <c r="J16" s="36" t="s">
        <v>226</v>
      </c>
      <c r="K16" s="7">
        <v>2</v>
      </c>
      <c r="L16" s="7" t="s">
        <v>70</v>
      </c>
      <c r="M16" s="30">
        <v>5000</v>
      </c>
      <c r="N16" s="37">
        <f t="shared" si="0"/>
        <v>10000</v>
      </c>
    </row>
    <row r="17" spans="1:14" x14ac:dyDescent="0.25">
      <c r="A17" s="15" t="s">
        <v>196</v>
      </c>
      <c r="H17" s="3"/>
      <c r="J17" s="36" t="s">
        <v>227</v>
      </c>
      <c r="K17" s="7">
        <v>1</v>
      </c>
      <c r="L17" s="7" t="s">
        <v>20</v>
      </c>
      <c r="M17" s="30">
        <v>17000</v>
      </c>
      <c r="N17" s="37">
        <f t="shared" si="0"/>
        <v>17000</v>
      </c>
    </row>
    <row r="18" spans="1:14" x14ac:dyDescent="0.25">
      <c r="L18" s="12"/>
    </row>
    <row r="20" spans="1:14" x14ac:dyDescent="0.25">
      <c r="A20" t="s">
        <v>10</v>
      </c>
      <c r="C20" s="61" t="s">
        <v>11</v>
      </c>
      <c r="D20" s="61"/>
      <c r="F20" s="61" t="s">
        <v>12</v>
      </c>
      <c r="G20" s="61"/>
    </row>
    <row r="21" spans="1:14" x14ac:dyDescent="0.25">
      <c r="G21" s="3"/>
    </row>
    <row r="22" spans="1:14" x14ac:dyDescent="0.25">
      <c r="G22" s="3"/>
    </row>
    <row r="23" spans="1:14" x14ac:dyDescent="0.25">
      <c r="G23" s="3"/>
    </row>
    <row r="24" spans="1:14" x14ac:dyDescent="0.25">
      <c r="A24" t="s">
        <v>197</v>
      </c>
      <c r="C24" s="61" t="s">
        <v>14</v>
      </c>
      <c r="D24" s="61"/>
      <c r="F24" s="61" t="s">
        <v>15</v>
      </c>
      <c r="G24" s="61"/>
    </row>
  </sheetData>
  <mergeCells count="15">
    <mergeCell ref="A6:B6"/>
    <mergeCell ref="A2:H2"/>
    <mergeCell ref="K3:M3"/>
    <mergeCell ref="A4:B4"/>
    <mergeCell ref="F4:G4"/>
    <mergeCell ref="A5:B5"/>
    <mergeCell ref="C24:D24"/>
    <mergeCell ref="F24:G24"/>
    <mergeCell ref="A7:H7"/>
    <mergeCell ref="B9:G9"/>
    <mergeCell ref="B10:G10"/>
    <mergeCell ref="B11:G11"/>
    <mergeCell ref="B14:G14"/>
    <mergeCell ref="C20:D20"/>
    <mergeCell ref="F20:G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BCBF-571E-48AF-B349-FC42F4B1DCC7}">
  <dimension ref="A1:N36"/>
  <sheetViews>
    <sheetView topLeftCell="A3" workbookViewId="0">
      <selection activeCell="N1" sqref="A1:N35"/>
    </sheetView>
  </sheetViews>
  <sheetFormatPr defaultRowHeight="15" x14ac:dyDescent="0.25"/>
  <cols>
    <col min="3" max="3" width="12.85546875" bestFit="1" customWidth="1"/>
    <col min="8" max="8" width="13.28515625" bestFit="1" customWidth="1"/>
    <col min="14" max="14" width="10.5703125" bestFit="1" customWidth="1"/>
  </cols>
  <sheetData>
    <row r="1" spans="1:14" x14ac:dyDescent="0.25">
      <c r="K1" s="12"/>
      <c r="L1" s="12"/>
      <c r="M1" s="20"/>
      <c r="N1" s="20"/>
    </row>
    <row r="2" spans="1:14" ht="19.5" thickBot="1" x14ac:dyDescent="0.35">
      <c r="A2" s="58" t="s">
        <v>109</v>
      </c>
      <c r="B2" s="58"/>
      <c r="C2" s="58"/>
      <c r="D2" s="58"/>
      <c r="E2" s="58"/>
      <c r="F2" s="58"/>
      <c r="G2" s="58"/>
      <c r="H2" s="58"/>
      <c r="K2" s="12"/>
      <c r="L2" s="12"/>
      <c r="M2" s="20"/>
      <c r="N2" s="20"/>
    </row>
    <row r="3" spans="1:14" x14ac:dyDescent="0.25">
      <c r="J3" s="33" t="s">
        <v>130</v>
      </c>
      <c r="K3" s="56" t="s">
        <v>101</v>
      </c>
      <c r="L3" s="56"/>
      <c r="M3" s="56"/>
      <c r="N3" s="42">
        <f>SUM(N5:N23)</f>
        <v>1050000</v>
      </c>
    </row>
    <row r="4" spans="1:14" x14ac:dyDescent="0.25">
      <c r="A4" s="59" t="s">
        <v>1</v>
      </c>
      <c r="B4" s="59"/>
      <c r="C4" s="1" t="s">
        <v>205</v>
      </c>
      <c r="F4" s="60" t="s">
        <v>3</v>
      </c>
      <c r="G4" s="60"/>
      <c r="H4" s="2">
        <f ca="1">TODAY()</f>
        <v>46147</v>
      </c>
      <c r="J4" s="34" t="s">
        <v>105</v>
      </c>
      <c r="K4" s="31" t="s">
        <v>116</v>
      </c>
      <c r="L4" s="31"/>
      <c r="M4" s="32" t="s">
        <v>117</v>
      </c>
      <c r="N4" s="35" t="s">
        <v>8</v>
      </c>
    </row>
    <row r="5" spans="1:14" x14ac:dyDescent="0.25">
      <c r="A5" s="59" t="s">
        <v>4</v>
      </c>
      <c r="B5" s="59"/>
      <c r="C5" t="s">
        <v>5</v>
      </c>
      <c r="H5" s="3"/>
      <c r="J5" s="36" t="s">
        <v>115</v>
      </c>
      <c r="K5" s="7">
        <v>6</v>
      </c>
      <c r="L5" s="7" t="s">
        <v>20</v>
      </c>
      <c r="M5" s="30">
        <v>8000</v>
      </c>
      <c r="N5" s="37">
        <f>M5*K5</f>
        <v>48000</v>
      </c>
    </row>
    <row r="6" spans="1:14" x14ac:dyDescent="0.25">
      <c r="A6" s="59" t="s">
        <v>6</v>
      </c>
      <c r="B6" s="59"/>
      <c r="C6" s="4">
        <f>H15</f>
        <v>1299000</v>
      </c>
      <c r="H6" s="3"/>
      <c r="J6" s="36" t="s">
        <v>118</v>
      </c>
      <c r="K6" s="7">
        <v>6</v>
      </c>
      <c r="L6" s="7" t="s">
        <v>119</v>
      </c>
      <c r="M6" s="30">
        <v>8000</v>
      </c>
      <c r="N6" s="37">
        <f t="shared" ref="N6:N24" si="0">M6*K6</f>
        <v>48000</v>
      </c>
    </row>
    <row r="7" spans="1:14" x14ac:dyDescent="0.25">
      <c r="A7" s="57" t="s">
        <v>238</v>
      </c>
      <c r="B7" s="57"/>
      <c r="C7" s="57"/>
      <c r="D7" s="57"/>
      <c r="E7" s="57"/>
      <c r="F7" s="57"/>
      <c r="G7" s="57"/>
      <c r="H7" s="57"/>
      <c r="J7" s="36" t="s">
        <v>159</v>
      </c>
      <c r="K7" s="7">
        <v>1</v>
      </c>
      <c r="L7" s="7" t="s">
        <v>20</v>
      </c>
      <c r="M7" s="30">
        <v>12000</v>
      </c>
      <c r="N7" s="37">
        <f t="shared" si="0"/>
        <v>12000</v>
      </c>
    </row>
    <row r="8" spans="1:14" x14ac:dyDescent="0.25">
      <c r="J8" s="36" t="s">
        <v>223</v>
      </c>
      <c r="K8" s="7">
        <v>0.5</v>
      </c>
      <c r="L8" s="7" t="s">
        <v>20</v>
      </c>
      <c r="M8" s="30">
        <v>24000</v>
      </c>
      <c r="N8" s="37">
        <f t="shared" si="0"/>
        <v>12000</v>
      </c>
    </row>
    <row r="9" spans="1:14" x14ac:dyDescent="0.25">
      <c r="A9" s="5" t="s">
        <v>0</v>
      </c>
      <c r="B9" s="62" t="s">
        <v>7</v>
      </c>
      <c r="C9" s="62"/>
      <c r="D9" s="62"/>
      <c r="E9" s="62"/>
      <c r="F9" s="62"/>
      <c r="G9" s="62"/>
      <c r="H9" s="6" t="s">
        <v>6</v>
      </c>
      <c r="J9" s="36" t="s">
        <v>23</v>
      </c>
      <c r="K9" s="7">
        <v>6</v>
      </c>
      <c r="L9" s="7" t="s">
        <v>70</v>
      </c>
      <c r="M9" s="30">
        <v>11000</v>
      </c>
      <c r="N9" s="37">
        <f t="shared" si="0"/>
        <v>66000</v>
      </c>
    </row>
    <row r="10" spans="1:14" x14ac:dyDescent="0.25">
      <c r="A10" s="7">
        <v>1</v>
      </c>
      <c r="B10" s="63" t="s">
        <v>228</v>
      </c>
      <c r="C10" s="64"/>
      <c r="D10" s="64"/>
      <c r="E10" s="64"/>
      <c r="F10" s="64"/>
      <c r="G10" s="65"/>
      <c r="H10" s="8">
        <f>N3</f>
        <v>1050000</v>
      </c>
      <c r="J10" s="36" t="s">
        <v>214</v>
      </c>
      <c r="K10" s="7">
        <v>360</v>
      </c>
      <c r="L10" s="7" t="s">
        <v>70</v>
      </c>
      <c r="M10" s="30">
        <v>500</v>
      </c>
      <c r="N10" s="37">
        <f t="shared" si="0"/>
        <v>180000</v>
      </c>
    </row>
    <row r="11" spans="1:14" x14ac:dyDescent="0.25">
      <c r="A11" s="7">
        <v>2</v>
      </c>
      <c r="B11" s="63"/>
      <c r="C11" s="64"/>
      <c r="D11" s="64"/>
      <c r="E11" s="64"/>
      <c r="F11" s="64"/>
      <c r="G11" s="65"/>
      <c r="H11" s="8"/>
      <c r="J11" s="36" t="s">
        <v>229</v>
      </c>
      <c r="K11" s="7">
        <v>12</v>
      </c>
      <c r="L11" s="7" t="s">
        <v>165</v>
      </c>
      <c r="M11" s="30">
        <v>10000</v>
      </c>
      <c r="N11" s="37">
        <f t="shared" si="0"/>
        <v>120000</v>
      </c>
    </row>
    <row r="12" spans="1:14" x14ac:dyDescent="0.25">
      <c r="A12" s="7">
        <v>3</v>
      </c>
      <c r="B12" s="9" t="s">
        <v>239</v>
      </c>
      <c r="C12" s="10"/>
      <c r="D12" s="10"/>
      <c r="E12" s="10"/>
      <c r="F12" s="10"/>
      <c r="G12" s="11"/>
      <c r="H12" s="8">
        <f>N25</f>
        <v>249000</v>
      </c>
      <c r="J12" s="36" t="s">
        <v>230</v>
      </c>
      <c r="K12" s="7">
        <v>2</v>
      </c>
      <c r="L12" s="7" t="s">
        <v>20</v>
      </c>
      <c r="M12" s="30">
        <v>10000</v>
      </c>
      <c r="N12" s="37">
        <f t="shared" si="0"/>
        <v>20000</v>
      </c>
    </row>
    <row r="13" spans="1:14" x14ac:dyDescent="0.25">
      <c r="A13" s="7">
        <v>4</v>
      </c>
      <c r="B13" s="9"/>
      <c r="C13" s="10"/>
      <c r="D13" s="10"/>
      <c r="E13" s="10"/>
      <c r="F13" s="10"/>
      <c r="G13" s="11"/>
      <c r="H13" s="8"/>
      <c r="J13" s="36" t="s">
        <v>167</v>
      </c>
      <c r="K13" s="7">
        <v>6</v>
      </c>
      <c r="L13" s="7" t="s">
        <v>20</v>
      </c>
      <c r="M13" s="30">
        <v>8000</v>
      </c>
      <c r="N13" s="37">
        <f t="shared" si="0"/>
        <v>48000</v>
      </c>
    </row>
    <row r="14" spans="1:14" x14ac:dyDescent="0.25">
      <c r="A14" s="7">
        <v>5</v>
      </c>
      <c r="B14" s="63"/>
      <c r="C14" s="64"/>
      <c r="D14" s="64"/>
      <c r="E14" s="64"/>
      <c r="F14" s="64"/>
      <c r="G14" s="65"/>
      <c r="H14" s="8"/>
      <c r="J14" s="36" t="s">
        <v>176</v>
      </c>
      <c r="K14" s="7">
        <v>4</v>
      </c>
      <c r="L14" s="7" t="s">
        <v>20</v>
      </c>
      <c r="M14" s="30">
        <v>8000</v>
      </c>
      <c r="N14" s="37">
        <f t="shared" si="0"/>
        <v>32000</v>
      </c>
    </row>
    <row r="15" spans="1:14" x14ac:dyDescent="0.25">
      <c r="A15" s="12"/>
      <c r="G15" s="13" t="s">
        <v>8</v>
      </c>
      <c r="H15" s="14">
        <f>SUM(H10:H14)</f>
        <v>1299000</v>
      </c>
      <c r="J15" s="36" t="s">
        <v>193</v>
      </c>
      <c r="K15" s="7">
        <v>18</v>
      </c>
      <c r="L15" s="7" t="s">
        <v>31</v>
      </c>
      <c r="M15" s="30">
        <v>5000</v>
      </c>
      <c r="N15" s="37">
        <f t="shared" si="0"/>
        <v>90000</v>
      </c>
    </row>
    <row r="16" spans="1:14" x14ac:dyDescent="0.25">
      <c r="H16" s="18"/>
      <c r="J16" s="36" t="s">
        <v>231</v>
      </c>
      <c r="K16" s="7">
        <v>1</v>
      </c>
      <c r="L16" s="7" t="s">
        <v>20</v>
      </c>
      <c r="M16" s="30">
        <v>80000</v>
      </c>
      <c r="N16" s="37">
        <f t="shared" si="0"/>
        <v>80000</v>
      </c>
    </row>
    <row r="17" spans="1:14" x14ac:dyDescent="0.25">
      <c r="A17" s="15" t="s">
        <v>196</v>
      </c>
      <c r="H17" s="3"/>
      <c r="J17" s="36" t="s">
        <v>232</v>
      </c>
      <c r="K17" s="7">
        <v>0.5</v>
      </c>
      <c r="L17" s="7" t="s">
        <v>20</v>
      </c>
      <c r="M17" s="30">
        <v>60000</v>
      </c>
      <c r="N17" s="37">
        <f t="shared" si="0"/>
        <v>30000</v>
      </c>
    </row>
    <row r="18" spans="1:14" x14ac:dyDescent="0.25">
      <c r="J18" s="36" t="s">
        <v>233</v>
      </c>
      <c r="K18" s="7">
        <v>6</v>
      </c>
      <c r="L18" s="7" t="s">
        <v>57</v>
      </c>
      <c r="M18" s="30">
        <v>44000</v>
      </c>
      <c r="N18" s="37">
        <f t="shared" si="0"/>
        <v>264000</v>
      </c>
    </row>
    <row r="19" spans="1:14" x14ac:dyDescent="0.25">
      <c r="J19" s="36"/>
      <c r="K19" s="7"/>
      <c r="L19" s="7"/>
      <c r="M19" s="30"/>
      <c r="N19" s="37">
        <f t="shared" si="0"/>
        <v>0</v>
      </c>
    </row>
    <row r="20" spans="1:14" x14ac:dyDescent="0.25">
      <c r="A20" t="s">
        <v>10</v>
      </c>
      <c r="C20" s="61" t="s">
        <v>11</v>
      </c>
      <c r="D20" s="61"/>
      <c r="F20" s="61" t="s">
        <v>12</v>
      </c>
      <c r="G20" s="61"/>
      <c r="J20" s="44"/>
      <c r="K20" s="45"/>
      <c r="L20" s="45"/>
      <c r="M20" s="46"/>
      <c r="N20" s="47">
        <f t="shared" si="0"/>
        <v>0</v>
      </c>
    </row>
    <row r="21" spans="1:14" x14ac:dyDescent="0.25">
      <c r="G21" s="3"/>
      <c r="J21" s="44"/>
      <c r="K21" s="45"/>
      <c r="L21" s="45"/>
      <c r="M21" s="46"/>
      <c r="N21" s="47">
        <f t="shared" si="0"/>
        <v>0</v>
      </c>
    </row>
    <row r="22" spans="1:14" x14ac:dyDescent="0.25">
      <c r="G22" s="3"/>
      <c r="J22" s="44"/>
      <c r="K22" s="45"/>
      <c r="L22" s="45"/>
      <c r="M22" s="46"/>
      <c r="N22" s="47">
        <f t="shared" si="0"/>
        <v>0</v>
      </c>
    </row>
    <row r="23" spans="1:14" x14ac:dyDescent="0.25">
      <c r="G23" s="3"/>
      <c r="J23" s="29"/>
      <c r="K23" s="7"/>
      <c r="L23" s="7"/>
      <c r="M23" s="30"/>
      <c r="N23" s="30">
        <f t="shared" si="0"/>
        <v>0</v>
      </c>
    </row>
    <row r="24" spans="1:14" x14ac:dyDescent="0.25">
      <c r="A24" t="s">
        <v>197</v>
      </c>
      <c r="C24" s="61" t="s">
        <v>14</v>
      </c>
      <c r="D24" s="61"/>
      <c r="F24" s="61" t="s">
        <v>15</v>
      </c>
      <c r="G24" s="61"/>
      <c r="J24" s="29"/>
      <c r="K24" s="7"/>
      <c r="L24" s="7"/>
      <c r="M24" s="30"/>
      <c r="N24" s="30">
        <f t="shared" si="0"/>
        <v>0</v>
      </c>
    </row>
    <row r="25" spans="1:14" x14ac:dyDescent="0.25">
      <c r="J25" s="54"/>
      <c r="K25" s="66" t="s">
        <v>101</v>
      </c>
      <c r="L25" s="66"/>
      <c r="M25" s="66"/>
      <c r="N25" s="55">
        <f>SUM(N27:N49)</f>
        <v>249000</v>
      </c>
    </row>
    <row r="26" spans="1:14" x14ac:dyDescent="0.25">
      <c r="J26" s="34" t="s">
        <v>105</v>
      </c>
      <c r="K26" s="31" t="s">
        <v>116</v>
      </c>
      <c r="L26" s="31"/>
      <c r="M26" s="32" t="s">
        <v>117</v>
      </c>
      <c r="N26" s="35" t="s">
        <v>8</v>
      </c>
    </row>
    <row r="27" spans="1:14" x14ac:dyDescent="0.25">
      <c r="J27" s="29" t="s">
        <v>234</v>
      </c>
      <c r="K27" s="7">
        <v>0.5</v>
      </c>
      <c r="L27" s="7"/>
      <c r="M27" s="30">
        <v>54000</v>
      </c>
      <c r="N27" s="30">
        <f t="shared" ref="N27:N32" si="1">M27*K27</f>
        <v>27000</v>
      </c>
    </row>
    <row r="28" spans="1:14" x14ac:dyDescent="0.25">
      <c r="J28" s="29" t="s">
        <v>220</v>
      </c>
      <c r="K28" s="7">
        <v>2</v>
      </c>
      <c r="L28" s="7"/>
      <c r="M28" s="30">
        <v>14000</v>
      </c>
      <c r="N28" s="30">
        <f t="shared" si="1"/>
        <v>28000</v>
      </c>
    </row>
    <row r="29" spans="1:14" x14ac:dyDescent="0.25">
      <c r="J29" s="29" t="s">
        <v>34</v>
      </c>
      <c r="K29" s="7">
        <v>2</v>
      </c>
      <c r="L29" s="7"/>
      <c r="M29" s="30">
        <v>13000</v>
      </c>
      <c r="N29" s="30">
        <f t="shared" si="1"/>
        <v>26000</v>
      </c>
    </row>
    <row r="30" spans="1:14" x14ac:dyDescent="0.25">
      <c r="J30" s="29" t="s">
        <v>235</v>
      </c>
      <c r="K30" s="7">
        <v>1</v>
      </c>
      <c r="L30" s="7"/>
      <c r="M30" s="30">
        <v>30000</v>
      </c>
      <c r="N30" s="30">
        <f t="shared" si="1"/>
        <v>30000</v>
      </c>
    </row>
    <row r="31" spans="1:14" x14ac:dyDescent="0.25">
      <c r="J31" s="29" t="s">
        <v>237</v>
      </c>
      <c r="K31" s="7">
        <v>20</v>
      </c>
      <c r="L31" s="7"/>
      <c r="M31" s="30">
        <v>5500</v>
      </c>
      <c r="N31" s="30">
        <f t="shared" si="1"/>
        <v>110000</v>
      </c>
    </row>
    <row r="32" spans="1:14" x14ac:dyDescent="0.25">
      <c r="J32" s="29" t="s">
        <v>236</v>
      </c>
      <c r="K32" s="7">
        <v>16</v>
      </c>
      <c r="L32" s="7"/>
      <c r="M32" s="30">
        <v>1750</v>
      </c>
      <c r="N32" s="30">
        <f t="shared" si="1"/>
        <v>28000</v>
      </c>
    </row>
    <row r="33" spans="10:14" x14ac:dyDescent="0.25">
      <c r="J33" s="29"/>
      <c r="K33" s="7"/>
      <c r="L33" s="7"/>
      <c r="M33" s="30"/>
      <c r="N33" s="30"/>
    </row>
    <row r="34" spans="10:14" x14ac:dyDescent="0.25">
      <c r="J34" s="29"/>
      <c r="K34" s="7"/>
      <c r="L34" s="7"/>
      <c r="M34" s="30"/>
      <c r="N34" s="30"/>
    </row>
    <row r="35" spans="10:14" x14ac:dyDescent="0.25">
      <c r="L35" s="12"/>
    </row>
    <row r="36" spans="10:14" x14ac:dyDescent="0.25">
      <c r="L36" s="12"/>
    </row>
  </sheetData>
  <mergeCells count="16">
    <mergeCell ref="C24:D24"/>
    <mergeCell ref="F24:G24"/>
    <mergeCell ref="K25:M25"/>
    <mergeCell ref="A7:H7"/>
    <mergeCell ref="B9:G9"/>
    <mergeCell ref="B10:G10"/>
    <mergeCell ref="B11:G11"/>
    <mergeCell ref="B14:G14"/>
    <mergeCell ref="C20:D20"/>
    <mergeCell ref="F20:G20"/>
    <mergeCell ref="A6:B6"/>
    <mergeCell ref="A2:H2"/>
    <mergeCell ref="K3:M3"/>
    <mergeCell ref="A4:B4"/>
    <mergeCell ref="F4:G4"/>
    <mergeCell ref="A5:B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49634-E5AC-42B1-93F9-716916C2A1FA}">
  <dimension ref="A1"/>
  <sheetViews>
    <sheetView topLeftCell="A10" zoomScale="70" zoomScaleNormal="70" workbookViewId="0">
      <selection activeCell="U35" sqref="U3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E252-89C0-41BC-BA12-906788554C56}">
  <dimension ref="A1:N30"/>
  <sheetViews>
    <sheetView zoomScale="70" zoomScaleNormal="70" workbookViewId="0">
      <selection activeCell="K5" sqref="K5"/>
    </sheetView>
  </sheetViews>
  <sheetFormatPr defaultRowHeight="15" x14ac:dyDescent="0.25"/>
  <cols>
    <col min="1" max="2" width="9.140625" customWidth="1"/>
    <col min="3" max="3" width="17.42578125" bestFit="1" customWidth="1"/>
    <col min="4" max="4" width="9.140625" customWidth="1"/>
    <col min="8" max="8" width="16.7109375" bestFit="1" customWidth="1"/>
    <col min="10" max="10" width="26.28515625" bestFit="1" customWidth="1"/>
    <col min="14" max="14" width="12.85546875" bestFit="1" customWidth="1"/>
  </cols>
  <sheetData>
    <row r="1" spans="1:14" x14ac:dyDescent="0.25">
      <c r="K1" s="12"/>
      <c r="L1" s="12"/>
      <c r="M1" s="20"/>
      <c r="N1" s="20"/>
    </row>
    <row r="2" spans="1:14" ht="19.5" thickBot="1" x14ac:dyDescent="0.35">
      <c r="A2" s="58" t="s">
        <v>109</v>
      </c>
      <c r="B2" s="58"/>
      <c r="C2" s="58"/>
      <c r="D2" s="58"/>
      <c r="E2" s="58"/>
      <c r="F2" s="58"/>
      <c r="G2" s="58"/>
      <c r="H2" s="58"/>
      <c r="K2" s="12"/>
      <c r="L2" s="12"/>
      <c r="M2" s="20"/>
      <c r="N2" s="20"/>
    </row>
    <row r="3" spans="1:14" x14ac:dyDescent="0.25">
      <c r="J3" s="33" t="s">
        <v>130</v>
      </c>
      <c r="K3" s="56" t="s">
        <v>101</v>
      </c>
      <c r="L3" s="56"/>
      <c r="M3" s="56"/>
      <c r="N3" s="42">
        <f>SUM(N5:N19)</f>
        <v>275000</v>
      </c>
    </row>
    <row r="4" spans="1:14" x14ac:dyDescent="0.25">
      <c r="A4" s="59" t="s">
        <v>1</v>
      </c>
      <c r="B4" s="59"/>
      <c r="C4" s="1" t="s">
        <v>252</v>
      </c>
      <c r="F4" s="60" t="s">
        <v>3</v>
      </c>
      <c r="G4" s="60"/>
      <c r="H4" s="2">
        <f ca="1">TODAY()</f>
        <v>46147</v>
      </c>
      <c r="J4" s="34" t="s">
        <v>105</v>
      </c>
      <c r="K4" s="31" t="s">
        <v>116</v>
      </c>
      <c r="L4" s="31"/>
      <c r="M4" s="32" t="s">
        <v>117</v>
      </c>
      <c r="N4" s="35" t="s">
        <v>8</v>
      </c>
    </row>
    <row r="5" spans="1:14" x14ac:dyDescent="0.25">
      <c r="A5" s="59" t="s">
        <v>4</v>
      </c>
      <c r="B5" s="59"/>
      <c r="C5" t="s">
        <v>240</v>
      </c>
      <c r="H5" s="3"/>
      <c r="J5" s="36" t="s">
        <v>145</v>
      </c>
      <c r="K5" s="7">
        <v>2</v>
      </c>
      <c r="L5" s="7" t="s">
        <v>20</v>
      </c>
      <c r="M5" s="30">
        <v>9000</v>
      </c>
      <c r="N5" s="37">
        <f>M5*K5</f>
        <v>18000</v>
      </c>
    </row>
    <row r="6" spans="1:14" x14ac:dyDescent="0.25">
      <c r="A6" s="59" t="s">
        <v>6</v>
      </c>
      <c r="B6" s="59"/>
      <c r="C6" s="4">
        <f>H15</f>
        <v>275000</v>
      </c>
      <c r="H6" s="3"/>
      <c r="J6" s="36" t="s">
        <v>118</v>
      </c>
      <c r="K6" s="7">
        <v>1</v>
      </c>
      <c r="L6" s="7" t="s">
        <v>20</v>
      </c>
      <c r="M6" s="30">
        <v>8000</v>
      </c>
      <c r="N6" s="37">
        <f t="shared" ref="N6:N19" si="0">M6*K6</f>
        <v>8000</v>
      </c>
    </row>
    <row r="7" spans="1:14" x14ac:dyDescent="0.25">
      <c r="A7" s="57" t="s">
        <v>238</v>
      </c>
      <c r="B7" s="57"/>
      <c r="C7" s="57"/>
      <c r="D7" s="57"/>
      <c r="E7" s="57"/>
      <c r="F7" s="57"/>
      <c r="G7" s="57"/>
      <c r="H7" s="57"/>
      <c r="J7" s="36" t="s">
        <v>120</v>
      </c>
      <c r="K7" s="7">
        <v>80</v>
      </c>
      <c r="L7" s="7" t="s">
        <v>70</v>
      </c>
      <c r="M7" s="30">
        <v>500</v>
      </c>
      <c r="N7" s="37">
        <f t="shared" si="0"/>
        <v>40000</v>
      </c>
    </row>
    <row r="8" spans="1:14" x14ac:dyDescent="0.25">
      <c r="J8" s="36" t="s">
        <v>121</v>
      </c>
      <c r="K8" s="7">
        <v>2</v>
      </c>
      <c r="L8" s="7" t="s">
        <v>165</v>
      </c>
      <c r="M8" s="30">
        <v>10000</v>
      </c>
      <c r="N8" s="37">
        <f t="shared" si="0"/>
        <v>20000</v>
      </c>
    </row>
    <row r="9" spans="1:14" x14ac:dyDescent="0.25">
      <c r="A9" s="5" t="s">
        <v>0</v>
      </c>
      <c r="B9" s="62" t="s">
        <v>7</v>
      </c>
      <c r="C9" s="62"/>
      <c r="D9" s="62"/>
      <c r="E9" s="62"/>
      <c r="F9" s="62"/>
      <c r="G9" s="62"/>
      <c r="H9" s="6" t="s">
        <v>6</v>
      </c>
      <c r="J9" s="36" t="s">
        <v>148</v>
      </c>
      <c r="K9" s="7">
        <v>0.5</v>
      </c>
      <c r="L9" s="7" t="s">
        <v>20</v>
      </c>
      <c r="M9" s="30">
        <v>12000</v>
      </c>
      <c r="N9" s="37">
        <f t="shared" si="0"/>
        <v>6000</v>
      </c>
    </row>
    <row r="10" spans="1:14" x14ac:dyDescent="0.25">
      <c r="A10" s="7">
        <v>1</v>
      </c>
      <c r="B10" s="63" t="s">
        <v>241</v>
      </c>
      <c r="C10" s="64"/>
      <c r="D10" s="64"/>
      <c r="E10" s="64"/>
      <c r="F10" s="64"/>
      <c r="G10" s="65"/>
      <c r="H10" s="8">
        <f>N3</f>
        <v>275000</v>
      </c>
      <c r="J10" s="36" t="s">
        <v>127</v>
      </c>
      <c r="K10" s="7">
        <v>4</v>
      </c>
      <c r="L10" s="7" t="s">
        <v>70</v>
      </c>
      <c r="M10" s="30">
        <v>5000</v>
      </c>
      <c r="N10" s="37">
        <f t="shared" si="0"/>
        <v>20000</v>
      </c>
    </row>
    <row r="11" spans="1:14" x14ac:dyDescent="0.25">
      <c r="A11" s="7">
        <v>2</v>
      </c>
      <c r="B11" s="63"/>
      <c r="C11" s="64"/>
      <c r="D11" s="64"/>
      <c r="E11" s="64"/>
      <c r="F11" s="64"/>
      <c r="G11" s="65"/>
      <c r="H11" s="8"/>
      <c r="J11" s="36" t="s">
        <v>147</v>
      </c>
      <c r="K11" s="7">
        <v>0.5</v>
      </c>
      <c r="L11" s="7" t="s">
        <v>20</v>
      </c>
      <c r="M11" s="30">
        <v>74000</v>
      </c>
      <c r="N11" s="37">
        <f t="shared" si="0"/>
        <v>37000</v>
      </c>
    </row>
    <row r="12" spans="1:14" x14ac:dyDescent="0.25">
      <c r="A12" s="7">
        <v>3</v>
      </c>
      <c r="B12" s="9"/>
      <c r="C12" s="10"/>
      <c r="D12" s="10"/>
      <c r="E12" s="10"/>
      <c r="F12" s="10"/>
      <c r="G12" s="11"/>
      <c r="H12" s="8">
        <f>N20</f>
        <v>0</v>
      </c>
      <c r="J12" s="36" t="s">
        <v>126</v>
      </c>
      <c r="K12" s="7">
        <v>0.25</v>
      </c>
      <c r="L12" s="7" t="s">
        <v>20</v>
      </c>
      <c r="M12" s="30">
        <v>60000</v>
      </c>
      <c r="N12" s="37">
        <f t="shared" si="0"/>
        <v>15000</v>
      </c>
    </row>
    <row r="13" spans="1:14" x14ac:dyDescent="0.25">
      <c r="A13" s="7">
        <v>4</v>
      </c>
      <c r="B13" s="9"/>
      <c r="C13" s="10"/>
      <c r="D13" s="10"/>
      <c r="E13" s="10"/>
      <c r="F13" s="10"/>
      <c r="G13" s="11"/>
      <c r="H13" s="8"/>
      <c r="J13" s="36" t="s">
        <v>242</v>
      </c>
      <c r="K13" s="7">
        <v>1</v>
      </c>
      <c r="L13" s="7" t="s">
        <v>20</v>
      </c>
      <c r="M13" s="30">
        <v>44000</v>
      </c>
      <c r="N13" s="37">
        <f t="shared" si="0"/>
        <v>44000</v>
      </c>
    </row>
    <row r="14" spans="1:14" x14ac:dyDescent="0.25">
      <c r="A14" s="7">
        <v>5</v>
      </c>
      <c r="B14" s="63"/>
      <c r="C14" s="64"/>
      <c r="D14" s="64"/>
      <c r="E14" s="64"/>
      <c r="F14" s="64"/>
      <c r="G14" s="65"/>
      <c r="H14" s="8"/>
      <c r="J14" s="36" t="s">
        <v>243</v>
      </c>
      <c r="K14" s="7">
        <v>1</v>
      </c>
      <c r="L14" s="7" t="s">
        <v>31</v>
      </c>
      <c r="M14" s="30">
        <v>17000</v>
      </c>
      <c r="N14" s="37">
        <f t="shared" si="0"/>
        <v>17000</v>
      </c>
    </row>
    <row r="15" spans="1:14" x14ac:dyDescent="0.25">
      <c r="A15" s="12"/>
      <c r="G15" s="13" t="s">
        <v>8</v>
      </c>
      <c r="H15" s="14">
        <f>SUM(H10:H14)</f>
        <v>275000</v>
      </c>
      <c r="J15" s="36" t="s">
        <v>244</v>
      </c>
      <c r="K15" s="7">
        <v>1</v>
      </c>
      <c r="L15" s="7" t="s">
        <v>31</v>
      </c>
      <c r="M15" s="30">
        <v>12000</v>
      </c>
      <c r="N15" s="37">
        <f t="shared" si="0"/>
        <v>12000</v>
      </c>
    </row>
    <row r="16" spans="1:14" x14ac:dyDescent="0.25">
      <c r="H16" s="18"/>
      <c r="J16" s="36" t="s">
        <v>245</v>
      </c>
      <c r="K16" s="7">
        <v>1</v>
      </c>
      <c r="L16" s="7" t="s">
        <v>70</v>
      </c>
      <c r="M16" s="30">
        <v>10000</v>
      </c>
      <c r="N16" s="37">
        <f t="shared" si="0"/>
        <v>10000</v>
      </c>
    </row>
    <row r="17" spans="1:14" x14ac:dyDescent="0.25">
      <c r="A17" s="15" t="s">
        <v>254</v>
      </c>
      <c r="H17" s="3"/>
      <c r="J17" s="36" t="s">
        <v>246</v>
      </c>
      <c r="K17" s="7">
        <v>2</v>
      </c>
      <c r="L17" s="7" t="s">
        <v>247</v>
      </c>
      <c r="M17" s="30">
        <v>10000</v>
      </c>
      <c r="N17" s="37">
        <f t="shared" si="0"/>
        <v>20000</v>
      </c>
    </row>
    <row r="18" spans="1:14" x14ac:dyDescent="0.25">
      <c r="J18" s="36" t="s">
        <v>248</v>
      </c>
      <c r="K18" s="7">
        <v>1</v>
      </c>
      <c r="L18" s="7" t="s">
        <v>250</v>
      </c>
      <c r="M18" s="30">
        <v>5000</v>
      </c>
      <c r="N18" s="37">
        <f t="shared" si="0"/>
        <v>5000</v>
      </c>
    </row>
    <row r="19" spans="1:14" x14ac:dyDescent="0.25">
      <c r="J19" s="36" t="s">
        <v>249</v>
      </c>
      <c r="K19" s="7">
        <v>1</v>
      </c>
      <c r="L19" s="7" t="s">
        <v>251</v>
      </c>
      <c r="M19" s="30">
        <v>3000</v>
      </c>
      <c r="N19" s="37">
        <f t="shared" si="0"/>
        <v>3000</v>
      </c>
    </row>
    <row r="20" spans="1:14" x14ac:dyDescent="0.25">
      <c r="A20" t="s">
        <v>10</v>
      </c>
      <c r="C20" s="61" t="s">
        <v>11</v>
      </c>
      <c r="D20" s="61"/>
      <c r="F20" s="61" t="s">
        <v>12</v>
      </c>
      <c r="G20" s="61"/>
      <c r="J20" s="54"/>
      <c r="K20" s="66" t="s">
        <v>101</v>
      </c>
      <c r="L20" s="66"/>
      <c r="M20" s="66"/>
      <c r="N20" s="55">
        <f>SUM(N22:N44)</f>
        <v>0</v>
      </c>
    </row>
    <row r="21" spans="1:14" x14ac:dyDescent="0.25">
      <c r="G21" s="3"/>
      <c r="J21" s="34" t="s">
        <v>105</v>
      </c>
      <c r="K21" s="31" t="s">
        <v>116</v>
      </c>
      <c r="L21" s="31"/>
      <c r="M21" s="32" t="s">
        <v>117</v>
      </c>
      <c r="N21" s="35" t="s">
        <v>8</v>
      </c>
    </row>
    <row r="22" spans="1:14" x14ac:dyDescent="0.25">
      <c r="G22" s="3"/>
      <c r="J22" s="29"/>
      <c r="K22" s="7"/>
      <c r="L22" s="7"/>
      <c r="M22" s="30"/>
      <c r="N22" s="30">
        <f t="shared" ref="N22:N29" si="1">M22*K22</f>
        <v>0</v>
      </c>
    </row>
    <row r="23" spans="1:14" x14ac:dyDescent="0.25">
      <c r="G23" s="3"/>
      <c r="J23" s="29"/>
      <c r="K23" s="7"/>
      <c r="L23" s="7"/>
      <c r="M23" s="30"/>
      <c r="N23" s="30">
        <f t="shared" si="1"/>
        <v>0</v>
      </c>
    </row>
    <row r="24" spans="1:14" x14ac:dyDescent="0.25">
      <c r="A24" t="s">
        <v>253</v>
      </c>
      <c r="C24" s="61" t="s">
        <v>14</v>
      </c>
      <c r="D24" s="61"/>
      <c r="F24" s="61" t="s">
        <v>15</v>
      </c>
      <c r="G24" s="61"/>
      <c r="J24" s="29"/>
      <c r="K24" s="7"/>
      <c r="L24" s="7"/>
      <c r="M24" s="30"/>
      <c r="N24" s="30">
        <f t="shared" si="1"/>
        <v>0</v>
      </c>
    </row>
    <row r="25" spans="1:14" x14ac:dyDescent="0.25">
      <c r="J25" s="29"/>
      <c r="K25" s="7"/>
      <c r="L25" s="7"/>
      <c r="M25" s="30"/>
      <c r="N25" s="30">
        <f t="shared" si="1"/>
        <v>0</v>
      </c>
    </row>
    <row r="26" spans="1:14" x14ac:dyDescent="0.25">
      <c r="J26" s="29"/>
      <c r="K26" s="7"/>
      <c r="L26" s="7"/>
      <c r="M26" s="30"/>
      <c r="N26" s="30">
        <f t="shared" si="1"/>
        <v>0</v>
      </c>
    </row>
    <row r="27" spans="1:14" x14ac:dyDescent="0.25">
      <c r="J27" s="29"/>
      <c r="K27" s="7"/>
      <c r="L27" s="7"/>
      <c r="M27" s="30"/>
      <c r="N27" s="30">
        <f t="shared" si="1"/>
        <v>0</v>
      </c>
    </row>
    <row r="28" spans="1:14" x14ac:dyDescent="0.25">
      <c r="J28" s="29"/>
      <c r="K28" s="7"/>
      <c r="L28" s="7"/>
      <c r="M28" s="30"/>
      <c r="N28" s="30">
        <f t="shared" si="1"/>
        <v>0</v>
      </c>
    </row>
    <row r="29" spans="1:14" x14ac:dyDescent="0.25">
      <c r="J29" s="29"/>
      <c r="K29" s="7"/>
      <c r="L29" s="7"/>
      <c r="M29" s="30"/>
      <c r="N29" s="30">
        <f t="shared" si="1"/>
        <v>0</v>
      </c>
    </row>
    <row r="30" spans="1:14" x14ac:dyDescent="0.25">
      <c r="L30" s="12"/>
    </row>
  </sheetData>
  <mergeCells count="16">
    <mergeCell ref="A6:B6"/>
    <mergeCell ref="A2:H2"/>
    <mergeCell ref="K3:M3"/>
    <mergeCell ref="A4:B4"/>
    <mergeCell ref="F4:G4"/>
    <mergeCell ref="A5:B5"/>
    <mergeCell ref="C24:D24"/>
    <mergeCell ref="F24:G24"/>
    <mergeCell ref="K20:M20"/>
    <mergeCell ref="A7:H7"/>
    <mergeCell ref="B9:G9"/>
    <mergeCell ref="B10:G10"/>
    <mergeCell ref="B11:G11"/>
    <mergeCell ref="B14:G14"/>
    <mergeCell ref="C20:D20"/>
    <mergeCell ref="F20:G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B160-FE8C-4528-9E6C-AE7747B26A19}">
  <dimension ref="B2:F20"/>
  <sheetViews>
    <sheetView workbookViewId="0">
      <selection activeCell="D46" sqref="D46"/>
    </sheetView>
  </sheetViews>
  <sheetFormatPr defaultRowHeight="15" x14ac:dyDescent="0.25"/>
  <cols>
    <col min="1" max="1" width="1.7109375" customWidth="1"/>
    <col min="2" max="2" width="24.85546875" customWidth="1"/>
    <col min="3" max="3" width="9.140625" style="12"/>
    <col min="4" max="4" width="12.140625" style="50" customWidth="1"/>
    <col min="5" max="5" width="14.7109375" style="52" bestFit="1" customWidth="1"/>
    <col min="6" max="6" width="15.7109375" style="52" bestFit="1" customWidth="1"/>
  </cols>
  <sheetData>
    <row r="2" spans="2:6" x14ac:dyDescent="0.25">
      <c r="B2" s="49" t="s">
        <v>177</v>
      </c>
    </row>
    <row r="3" spans="2:6" x14ac:dyDescent="0.25">
      <c r="F3" s="52">
        <f>SUM(F5:F20)</f>
        <v>571500</v>
      </c>
    </row>
    <row r="4" spans="2:6" x14ac:dyDescent="0.25">
      <c r="B4" s="48" t="s">
        <v>105</v>
      </c>
      <c r="C4" s="48" t="s">
        <v>18</v>
      </c>
      <c r="D4" s="51" t="s">
        <v>101</v>
      </c>
      <c r="E4" s="53" t="s">
        <v>178</v>
      </c>
      <c r="F4" s="53" t="s">
        <v>103</v>
      </c>
    </row>
    <row r="5" spans="2:6" x14ac:dyDescent="0.25">
      <c r="B5" t="s">
        <v>40</v>
      </c>
      <c r="C5" s="12">
        <v>7</v>
      </c>
      <c r="D5" s="50" t="s">
        <v>87</v>
      </c>
      <c r="E5" s="52">
        <v>8000</v>
      </c>
      <c r="F5" s="52">
        <f>E5*C5</f>
        <v>56000</v>
      </c>
    </row>
    <row r="6" spans="2:6" x14ac:dyDescent="0.25">
      <c r="B6" t="s">
        <v>41</v>
      </c>
      <c r="C6" s="12">
        <v>3.5</v>
      </c>
      <c r="D6" s="50" t="s">
        <v>87</v>
      </c>
      <c r="E6" s="52">
        <v>9000</v>
      </c>
      <c r="F6" s="52">
        <f t="shared" ref="F6:F20" si="0">E6*C6</f>
        <v>31500</v>
      </c>
    </row>
    <row r="7" spans="2:6" x14ac:dyDescent="0.25">
      <c r="B7" t="s">
        <v>42</v>
      </c>
      <c r="C7" s="12">
        <v>0.5</v>
      </c>
      <c r="D7" s="50" t="s">
        <v>179</v>
      </c>
      <c r="E7" s="52">
        <v>12000</v>
      </c>
      <c r="F7" s="52">
        <f t="shared" si="0"/>
        <v>6000</v>
      </c>
    </row>
    <row r="8" spans="2:6" x14ac:dyDescent="0.25">
      <c r="B8" t="s">
        <v>55</v>
      </c>
      <c r="C8" s="12">
        <v>1</v>
      </c>
      <c r="D8" s="50" t="s">
        <v>87</v>
      </c>
      <c r="E8" s="52">
        <v>23000</v>
      </c>
      <c r="F8" s="52">
        <f t="shared" si="0"/>
        <v>23000</v>
      </c>
    </row>
    <row r="9" spans="2:6" x14ac:dyDescent="0.25">
      <c r="B9" t="s">
        <v>43</v>
      </c>
      <c r="C9" s="12">
        <v>6</v>
      </c>
      <c r="D9" s="50" t="s">
        <v>88</v>
      </c>
      <c r="E9" s="52">
        <v>10000</v>
      </c>
      <c r="F9" s="52">
        <f t="shared" si="0"/>
        <v>60000</v>
      </c>
    </row>
    <row r="10" spans="2:6" x14ac:dyDescent="0.25">
      <c r="B10" t="s">
        <v>180</v>
      </c>
      <c r="C10" s="12">
        <v>1</v>
      </c>
      <c r="D10" s="50" t="s">
        <v>87</v>
      </c>
      <c r="E10" s="52">
        <v>10000</v>
      </c>
      <c r="F10" s="52">
        <f t="shared" si="0"/>
        <v>10000</v>
      </c>
    </row>
    <row r="11" spans="2:6" x14ac:dyDescent="0.25">
      <c r="B11" t="s">
        <v>49</v>
      </c>
      <c r="C11" s="12">
        <v>0.5</v>
      </c>
      <c r="D11" s="50" t="s">
        <v>179</v>
      </c>
      <c r="E11" s="52">
        <v>80000</v>
      </c>
      <c r="F11" s="52">
        <f t="shared" si="0"/>
        <v>40000</v>
      </c>
    </row>
    <row r="12" spans="2:6" x14ac:dyDescent="0.25">
      <c r="B12" t="s">
        <v>50</v>
      </c>
      <c r="C12" s="12">
        <v>0.25</v>
      </c>
      <c r="D12" s="50" t="s">
        <v>179</v>
      </c>
      <c r="E12" s="52">
        <v>60000</v>
      </c>
      <c r="F12" s="52">
        <f t="shared" si="0"/>
        <v>15000</v>
      </c>
    </row>
    <row r="13" spans="2:6" x14ac:dyDescent="0.25">
      <c r="B13" t="s">
        <v>181</v>
      </c>
      <c r="C13" s="12">
        <v>9</v>
      </c>
      <c r="D13" s="50" t="s">
        <v>73</v>
      </c>
      <c r="E13" s="52">
        <v>5000</v>
      </c>
      <c r="F13" s="52">
        <f t="shared" si="0"/>
        <v>45000</v>
      </c>
    </row>
    <row r="14" spans="2:6" x14ac:dyDescent="0.25">
      <c r="B14" t="s">
        <v>182</v>
      </c>
      <c r="C14" s="12">
        <v>2.5</v>
      </c>
      <c r="D14" s="50" t="s">
        <v>87</v>
      </c>
      <c r="E14" s="52">
        <v>8000</v>
      </c>
      <c r="F14" s="52">
        <f t="shared" si="0"/>
        <v>20000</v>
      </c>
    </row>
    <row r="15" spans="2:6" x14ac:dyDescent="0.25">
      <c r="B15" t="s">
        <v>183</v>
      </c>
      <c r="C15" s="12">
        <v>3</v>
      </c>
      <c r="D15" s="50" t="s">
        <v>188</v>
      </c>
      <c r="E15" s="52">
        <v>43000</v>
      </c>
      <c r="F15" s="52">
        <f t="shared" si="0"/>
        <v>129000</v>
      </c>
    </row>
    <row r="16" spans="2:6" x14ac:dyDescent="0.25">
      <c r="B16" t="s">
        <v>66</v>
      </c>
      <c r="C16" s="12">
        <v>1</v>
      </c>
      <c r="D16" s="50" t="s">
        <v>87</v>
      </c>
      <c r="E16" s="52">
        <v>18000</v>
      </c>
      <c r="F16" s="52">
        <f t="shared" si="0"/>
        <v>18000</v>
      </c>
    </row>
    <row r="17" spans="2:6" x14ac:dyDescent="0.25">
      <c r="B17" t="s">
        <v>184</v>
      </c>
      <c r="C17" s="12">
        <v>6</v>
      </c>
      <c r="D17" s="50" t="s">
        <v>185</v>
      </c>
      <c r="E17" s="52">
        <v>11000</v>
      </c>
      <c r="F17" s="52">
        <f t="shared" si="0"/>
        <v>66000</v>
      </c>
    </row>
    <row r="18" spans="2:6" x14ac:dyDescent="0.25">
      <c r="B18" t="s">
        <v>186</v>
      </c>
      <c r="C18" s="12">
        <v>2</v>
      </c>
      <c r="D18" s="50" t="s">
        <v>185</v>
      </c>
      <c r="E18" s="52">
        <v>11000</v>
      </c>
      <c r="F18" s="52">
        <f t="shared" si="0"/>
        <v>22000</v>
      </c>
    </row>
    <row r="19" spans="2:6" x14ac:dyDescent="0.25">
      <c r="B19" t="s">
        <v>187</v>
      </c>
      <c r="C19" s="12">
        <v>1</v>
      </c>
      <c r="E19" s="52">
        <v>20000</v>
      </c>
      <c r="F19" s="52">
        <f t="shared" si="0"/>
        <v>20000</v>
      </c>
    </row>
    <row r="20" spans="2:6" x14ac:dyDescent="0.25">
      <c r="B20" t="s">
        <v>189</v>
      </c>
      <c r="C20" s="12">
        <v>1</v>
      </c>
      <c r="E20" s="52">
        <v>10000</v>
      </c>
      <c r="F20" s="52">
        <f t="shared" si="0"/>
        <v>10000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4C12-3BEF-4F07-A115-F3D5C3CE56CB}">
  <dimension ref="B2:R39"/>
  <sheetViews>
    <sheetView showGridLines="0" tabSelected="1" topLeftCell="B1" workbookViewId="0">
      <selection activeCell="L7" sqref="L7"/>
    </sheetView>
  </sheetViews>
  <sheetFormatPr defaultRowHeight="15" x14ac:dyDescent="0.25"/>
  <cols>
    <col min="1" max="1" width="3" customWidth="1"/>
    <col min="4" max="4" width="13.28515625" bestFit="1" customWidth="1"/>
    <col min="9" max="9" width="16.85546875" customWidth="1"/>
    <col min="10" max="10" width="2.42578125" customWidth="1"/>
    <col min="11" max="11" width="17.28515625" customWidth="1"/>
    <col min="12" max="12" width="12" style="12" customWidth="1"/>
    <col min="14" max="14" width="11.5703125" style="20" bestFit="1" customWidth="1"/>
    <col min="15" max="15" width="12.5703125" style="20" bestFit="1" customWidth="1"/>
    <col min="16" max="16" width="9.28515625" style="21" bestFit="1" customWidth="1"/>
    <col min="17" max="17" width="12.85546875" style="20" customWidth="1"/>
    <col min="18" max="18" width="14.140625" style="27" customWidth="1"/>
  </cols>
  <sheetData>
    <row r="2" spans="2:18" ht="18.75" x14ac:dyDescent="0.3">
      <c r="B2" s="58" t="s">
        <v>198</v>
      </c>
      <c r="C2" s="58"/>
      <c r="D2" s="58"/>
      <c r="E2" s="58"/>
      <c r="F2" s="58"/>
      <c r="G2" s="58"/>
      <c r="H2" s="58"/>
      <c r="I2" s="58"/>
    </row>
    <row r="3" spans="2:18" x14ac:dyDescent="0.25">
      <c r="K3" s="16" t="s">
        <v>75</v>
      </c>
      <c r="L3" s="26"/>
      <c r="M3" s="17"/>
    </row>
    <row r="4" spans="2:18" x14ac:dyDescent="0.25">
      <c r="B4" s="59" t="s">
        <v>1</v>
      </c>
      <c r="C4" s="59"/>
      <c r="D4" s="1" t="s">
        <v>2</v>
      </c>
      <c r="G4" s="60" t="s">
        <v>3</v>
      </c>
      <c r="H4" s="60"/>
      <c r="I4" s="2">
        <v>46115</v>
      </c>
      <c r="K4" s="22" t="s">
        <v>105</v>
      </c>
      <c r="L4" s="23" t="s">
        <v>100</v>
      </c>
      <c r="M4" s="22" t="s">
        <v>101</v>
      </c>
      <c r="N4" s="24" t="s">
        <v>102</v>
      </c>
      <c r="O4" s="24" t="s">
        <v>103</v>
      </c>
      <c r="P4" s="25" t="s">
        <v>106</v>
      </c>
      <c r="Q4" s="24" t="s">
        <v>104</v>
      </c>
      <c r="R4" s="28" t="s">
        <v>107</v>
      </c>
    </row>
    <row r="5" spans="2:18" x14ac:dyDescent="0.25">
      <c r="B5" s="59" t="s">
        <v>4</v>
      </c>
      <c r="C5" s="59"/>
      <c r="D5" t="s">
        <v>5</v>
      </c>
      <c r="I5" s="3"/>
      <c r="K5" t="s">
        <v>16</v>
      </c>
      <c r="L5" s="12">
        <v>5</v>
      </c>
      <c r="M5" t="s">
        <v>57</v>
      </c>
      <c r="N5" s="20">
        <v>43000</v>
      </c>
      <c r="O5" s="20">
        <v>215000</v>
      </c>
      <c r="P5" s="21">
        <v>3</v>
      </c>
      <c r="Q5" s="20">
        <v>775000</v>
      </c>
      <c r="R5" s="27" t="s">
        <v>76</v>
      </c>
    </row>
    <row r="6" spans="2:18" x14ac:dyDescent="0.25">
      <c r="B6" s="59" t="s">
        <v>6</v>
      </c>
      <c r="C6" s="59"/>
      <c r="D6" s="4">
        <f>I16</f>
        <v>3831350</v>
      </c>
      <c r="I6" s="3"/>
      <c r="K6" t="s">
        <v>39</v>
      </c>
      <c r="L6" s="12">
        <v>6</v>
      </c>
      <c r="M6" t="s">
        <v>20</v>
      </c>
      <c r="N6" s="20">
        <v>11000</v>
      </c>
      <c r="O6" s="20">
        <v>66000</v>
      </c>
      <c r="P6" s="21">
        <v>3</v>
      </c>
      <c r="Q6" s="20">
        <v>198000</v>
      </c>
      <c r="R6" s="27" t="s">
        <v>77</v>
      </c>
    </row>
    <row r="7" spans="2:18" x14ac:dyDescent="0.25">
      <c r="B7" s="57" t="s">
        <v>110</v>
      </c>
      <c r="C7" s="57"/>
      <c r="D7" s="57"/>
      <c r="E7" s="57"/>
      <c r="F7" s="57"/>
      <c r="G7" s="57"/>
      <c r="H7" s="57"/>
      <c r="I7" s="57"/>
      <c r="K7" t="s">
        <v>46</v>
      </c>
      <c r="L7" s="12">
        <v>1</v>
      </c>
      <c r="M7" t="s">
        <v>31</v>
      </c>
      <c r="N7" s="20">
        <v>13000</v>
      </c>
      <c r="O7" s="20">
        <v>13000</v>
      </c>
      <c r="P7" s="21">
        <v>3</v>
      </c>
      <c r="Q7" s="20">
        <v>39000</v>
      </c>
      <c r="R7" s="27" t="s">
        <v>78</v>
      </c>
    </row>
    <row r="8" spans="2:18" x14ac:dyDescent="0.25">
      <c r="K8" t="s">
        <v>47</v>
      </c>
      <c r="L8" s="12">
        <v>40</v>
      </c>
      <c r="M8" t="s">
        <v>31</v>
      </c>
      <c r="N8" s="20">
        <v>2500</v>
      </c>
      <c r="O8" s="20">
        <v>100000</v>
      </c>
      <c r="P8" s="21">
        <v>3</v>
      </c>
      <c r="Q8" s="20">
        <v>300000</v>
      </c>
      <c r="R8" s="27" t="s">
        <v>79</v>
      </c>
    </row>
    <row r="9" spans="2:18" x14ac:dyDescent="0.25">
      <c r="B9" s="5" t="s">
        <v>0</v>
      </c>
      <c r="C9" s="62" t="s">
        <v>7</v>
      </c>
      <c r="D9" s="62"/>
      <c r="E9" s="62"/>
      <c r="F9" s="62"/>
      <c r="G9" s="62"/>
      <c r="H9" s="62"/>
      <c r="I9" s="6" t="s">
        <v>6</v>
      </c>
      <c r="K9" t="s">
        <v>50</v>
      </c>
      <c r="L9" s="12">
        <v>0.75</v>
      </c>
      <c r="M9" t="s">
        <v>59</v>
      </c>
      <c r="N9" s="20">
        <v>60000</v>
      </c>
      <c r="O9" s="20">
        <v>45000</v>
      </c>
      <c r="P9" s="21">
        <v>3</v>
      </c>
      <c r="Q9" s="20">
        <v>135000</v>
      </c>
      <c r="R9" s="27" t="s">
        <v>85</v>
      </c>
    </row>
    <row r="10" spans="2:18" x14ac:dyDescent="0.25">
      <c r="B10" s="7">
        <v>1</v>
      </c>
      <c r="C10" s="63" t="s">
        <v>97</v>
      </c>
      <c r="D10" s="64"/>
      <c r="E10" s="64"/>
      <c r="F10" s="64"/>
      <c r="G10" s="64"/>
      <c r="H10" s="65"/>
      <c r="I10" s="8">
        <v>2558000</v>
      </c>
      <c r="K10" t="s">
        <v>51</v>
      </c>
      <c r="L10" s="12">
        <v>2</v>
      </c>
      <c r="M10" t="s">
        <v>26</v>
      </c>
      <c r="N10" s="20">
        <v>10000</v>
      </c>
      <c r="O10" s="20">
        <v>20000</v>
      </c>
      <c r="P10" s="21">
        <v>3</v>
      </c>
      <c r="Q10" s="20">
        <v>80000</v>
      </c>
      <c r="R10" s="27" t="s">
        <v>81</v>
      </c>
    </row>
    <row r="11" spans="2:18" x14ac:dyDescent="0.25">
      <c r="B11" s="7">
        <v>2</v>
      </c>
      <c r="C11" s="63" t="s">
        <v>98</v>
      </c>
      <c r="D11" s="64"/>
      <c r="E11" s="64"/>
      <c r="F11" s="64"/>
      <c r="G11" s="64"/>
      <c r="H11" s="65"/>
      <c r="I11" s="8">
        <v>973350</v>
      </c>
      <c r="K11" t="s">
        <v>53</v>
      </c>
      <c r="L11" s="12">
        <v>1</v>
      </c>
      <c r="M11" t="s">
        <v>20</v>
      </c>
      <c r="N11" s="20">
        <v>10000</v>
      </c>
      <c r="O11" s="20">
        <v>10000</v>
      </c>
      <c r="P11" s="21">
        <v>3</v>
      </c>
      <c r="Q11" s="20">
        <v>30000</v>
      </c>
      <c r="R11" s="27" t="s">
        <v>82</v>
      </c>
    </row>
    <row r="12" spans="2:18" x14ac:dyDescent="0.25">
      <c r="B12" s="7">
        <v>3</v>
      </c>
      <c r="C12" s="63" t="s">
        <v>99</v>
      </c>
      <c r="D12" s="64"/>
      <c r="E12" s="64"/>
      <c r="F12" s="64"/>
      <c r="G12" s="64"/>
      <c r="H12" s="65"/>
      <c r="I12" s="8">
        <v>300000</v>
      </c>
      <c r="K12" t="s">
        <v>54</v>
      </c>
      <c r="L12" s="12">
        <v>1</v>
      </c>
      <c r="M12" t="s">
        <v>20</v>
      </c>
      <c r="N12" s="20">
        <v>9000</v>
      </c>
      <c r="O12" s="20">
        <v>9000</v>
      </c>
      <c r="P12" s="21">
        <v>3</v>
      </c>
      <c r="Q12" s="20">
        <v>27000</v>
      </c>
      <c r="R12" s="27" t="s">
        <v>82</v>
      </c>
    </row>
    <row r="13" spans="2:18" x14ac:dyDescent="0.25">
      <c r="B13" s="7">
        <v>4</v>
      </c>
      <c r="C13" s="9"/>
      <c r="D13" s="10"/>
      <c r="E13" s="10"/>
      <c r="F13" s="10"/>
      <c r="G13" s="10"/>
      <c r="H13" s="11"/>
      <c r="I13" s="8"/>
      <c r="K13" t="s">
        <v>55</v>
      </c>
      <c r="L13" s="12">
        <v>1</v>
      </c>
      <c r="M13" t="s">
        <v>20</v>
      </c>
      <c r="N13" s="20">
        <v>23000</v>
      </c>
      <c r="O13" s="20">
        <v>23000</v>
      </c>
      <c r="P13" s="21">
        <v>3</v>
      </c>
      <c r="Q13" s="20">
        <v>69000</v>
      </c>
      <c r="R13" s="27" t="s">
        <v>82</v>
      </c>
    </row>
    <row r="14" spans="2:18" x14ac:dyDescent="0.25">
      <c r="B14" s="7">
        <v>5</v>
      </c>
      <c r="C14" s="9"/>
      <c r="D14" s="10"/>
      <c r="E14" s="10"/>
      <c r="F14" s="10"/>
      <c r="G14" s="10"/>
      <c r="H14" s="11"/>
      <c r="I14" s="8"/>
      <c r="K14" t="s">
        <v>56</v>
      </c>
      <c r="L14" s="12">
        <v>3</v>
      </c>
      <c r="M14" t="s">
        <v>72</v>
      </c>
      <c r="N14" s="20">
        <v>27000</v>
      </c>
      <c r="O14" s="20">
        <v>81000</v>
      </c>
      <c r="P14" s="21">
        <v>3</v>
      </c>
      <c r="Q14" s="20">
        <v>243000</v>
      </c>
      <c r="R14" s="27" t="s">
        <v>83</v>
      </c>
    </row>
    <row r="15" spans="2:18" x14ac:dyDescent="0.25">
      <c r="B15" s="7">
        <v>6</v>
      </c>
      <c r="C15" s="63"/>
      <c r="D15" s="64"/>
      <c r="E15" s="64"/>
      <c r="F15" s="64"/>
      <c r="G15" s="64"/>
      <c r="H15" s="65"/>
      <c r="I15" s="8"/>
      <c r="K15" t="s">
        <v>60</v>
      </c>
      <c r="L15" s="12">
        <v>1</v>
      </c>
      <c r="M15" t="s">
        <v>24</v>
      </c>
      <c r="N15" s="20">
        <v>11000</v>
      </c>
      <c r="O15" s="20">
        <v>11000</v>
      </c>
      <c r="P15" s="21">
        <v>3</v>
      </c>
      <c r="Q15" s="20">
        <v>33000</v>
      </c>
      <c r="R15" s="27" t="s">
        <v>84</v>
      </c>
    </row>
    <row r="16" spans="2:18" x14ac:dyDescent="0.25">
      <c r="B16" s="12"/>
      <c r="H16" s="13" t="s">
        <v>8</v>
      </c>
      <c r="I16" s="14">
        <f>SUM(I10:I15)</f>
        <v>3831350</v>
      </c>
      <c r="K16" t="s">
        <v>61</v>
      </c>
      <c r="L16" s="12">
        <v>1</v>
      </c>
      <c r="M16" t="s">
        <v>31</v>
      </c>
      <c r="N16" s="20">
        <v>5000</v>
      </c>
      <c r="O16" s="20">
        <v>5000</v>
      </c>
      <c r="P16" s="21">
        <v>3</v>
      </c>
      <c r="Q16" s="20">
        <v>15000</v>
      </c>
      <c r="R16" s="27" t="s">
        <v>78</v>
      </c>
    </row>
    <row r="17" spans="2:18" x14ac:dyDescent="0.25">
      <c r="K17" t="s">
        <v>62</v>
      </c>
      <c r="L17" s="12">
        <v>1</v>
      </c>
      <c r="M17" t="s">
        <v>70</v>
      </c>
      <c r="N17" s="20">
        <v>11000</v>
      </c>
      <c r="O17" s="20">
        <v>11000</v>
      </c>
      <c r="P17" s="21">
        <v>3</v>
      </c>
      <c r="Q17" s="20">
        <v>33000</v>
      </c>
      <c r="R17" s="27" t="s">
        <v>84</v>
      </c>
    </row>
    <row r="18" spans="2:18" x14ac:dyDescent="0.25">
      <c r="B18" s="15" t="s">
        <v>9</v>
      </c>
      <c r="I18" s="3"/>
      <c r="K18" t="s">
        <v>63</v>
      </c>
      <c r="L18" s="12">
        <v>1</v>
      </c>
      <c r="M18" t="s">
        <v>73</v>
      </c>
      <c r="N18" s="20">
        <v>13000</v>
      </c>
      <c r="O18" s="20">
        <v>13000</v>
      </c>
      <c r="P18" s="21">
        <v>3</v>
      </c>
      <c r="Q18" s="20">
        <v>39000</v>
      </c>
      <c r="R18" s="27" t="s">
        <v>78</v>
      </c>
    </row>
    <row r="19" spans="2:18" x14ac:dyDescent="0.25">
      <c r="K19" t="s">
        <v>64</v>
      </c>
      <c r="L19" s="12">
        <v>1</v>
      </c>
      <c r="M19" t="s">
        <v>24</v>
      </c>
      <c r="N19" s="20">
        <v>11000</v>
      </c>
      <c r="O19" s="20">
        <v>11000</v>
      </c>
      <c r="P19" s="21">
        <v>3</v>
      </c>
      <c r="Q19" s="20">
        <v>33000</v>
      </c>
      <c r="R19" s="27" t="s">
        <v>84</v>
      </c>
    </row>
    <row r="20" spans="2:18" x14ac:dyDescent="0.25">
      <c r="K20" t="s">
        <v>65</v>
      </c>
      <c r="L20" s="12">
        <v>1</v>
      </c>
      <c r="M20" t="s">
        <v>24</v>
      </c>
      <c r="N20" s="20">
        <v>11000</v>
      </c>
      <c r="O20" s="20">
        <v>11000</v>
      </c>
      <c r="P20" s="21">
        <v>3</v>
      </c>
      <c r="Q20" s="20">
        <v>33000</v>
      </c>
      <c r="R20" s="27" t="s">
        <v>84</v>
      </c>
    </row>
    <row r="21" spans="2:18" x14ac:dyDescent="0.25">
      <c r="B21" t="s">
        <v>10</v>
      </c>
      <c r="D21" s="61" t="s">
        <v>11</v>
      </c>
      <c r="E21" s="61"/>
      <c r="G21" s="61" t="s">
        <v>12</v>
      </c>
      <c r="H21" s="61"/>
      <c r="K21" t="s">
        <v>66</v>
      </c>
      <c r="L21" s="12">
        <v>1</v>
      </c>
      <c r="M21" t="s">
        <v>24</v>
      </c>
      <c r="N21" s="20">
        <v>18000</v>
      </c>
      <c r="O21" s="20">
        <v>18000</v>
      </c>
      <c r="P21" s="21">
        <v>3</v>
      </c>
      <c r="Q21" s="20">
        <v>54000</v>
      </c>
      <c r="R21" s="27" t="s">
        <v>82</v>
      </c>
    </row>
    <row r="22" spans="2:18" x14ac:dyDescent="0.25">
      <c r="H22" s="3"/>
      <c r="K22" t="s">
        <v>67</v>
      </c>
      <c r="L22" s="12">
        <v>1</v>
      </c>
      <c r="M22" t="s">
        <v>20</v>
      </c>
      <c r="N22" s="20">
        <v>55000</v>
      </c>
      <c r="O22" s="20">
        <v>55000</v>
      </c>
      <c r="P22" s="21">
        <v>2</v>
      </c>
      <c r="Q22" s="20">
        <v>110000</v>
      </c>
      <c r="R22" s="27" t="s">
        <v>86</v>
      </c>
    </row>
    <row r="23" spans="2:18" x14ac:dyDescent="0.25">
      <c r="H23" s="3"/>
      <c r="K23" t="s">
        <v>74</v>
      </c>
      <c r="L23" s="12">
        <v>1</v>
      </c>
      <c r="M23" t="s">
        <v>20</v>
      </c>
      <c r="N23" s="20">
        <v>8000</v>
      </c>
      <c r="O23" s="20">
        <v>8000</v>
      </c>
      <c r="P23" s="21">
        <v>3</v>
      </c>
      <c r="Q23" s="20">
        <v>24000</v>
      </c>
      <c r="R23" s="27" t="s">
        <v>78</v>
      </c>
    </row>
    <row r="24" spans="2:18" x14ac:dyDescent="0.25">
      <c r="H24" s="3"/>
      <c r="K24" t="s">
        <v>71</v>
      </c>
      <c r="L24" s="12">
        <v>3</v>
      </c>
      <c r="M24" t="s">
        <v>31</v>
      </c>
      <c r="N24" s="20">
        <v>12000</v>
      </c>
      <c r="O24" s="20">
        <v>36000</v>
      </c>
      <c r="P24" s="21">
        <v>3</v>
      </c>
      <c r="Q24" s="20">
        <v>108000</v>
      </c>
      <c r="R24" s="27" t="s">
        <v>78</v>
      </c>
    </row>
    <row r="25" spans="2:18" x14ac:dyDescent="0.25">
      <c r="B25" t="s">
        <v>13</v>
      </c>
      <c r="D25" s="61" t="s">
        <v>14</v>
      </c>
      <c r="E25" s="61"/>
      <c r="G25" s="61" t="s">
        <v>15</v>
      </c>
      <c r="H25" s="61"/>
      <c r="K25" t="s">
        <v>68</v>
      </c>
      <c r="L25" s="12">
        <v>3</v>
      </c>
      <c r="M25" t="s">
        <v>31</v>
      </c>
      <c r="N25" s="20">
        <v>8000</v>
      </c>
      <c r="O25" s="20">
        <v>24000</v>
      </c>
      <c r="P25" s="21">
        <v>3</v>
      </c>
      <c r="Q25" s="20">
        <v>72000</v>
      </c>
      <c r="R25" s="27" t="s">
        <v>78</v>
      </c>
    </row>
    <row r="26" spans="2:18" x14ac:dyDescent="0.25">
      <c r="K26" t="s">
        <v>69</v>
      </c>
      <c r="L26" s="12">
        <v>3</v>
      </c>
      <c r="N26" s="20">
        <v>12000</v>
      </c>
      <c r="O26" s="20">
        <v>36000</v>
      </c>
      <c r="P26" s="21">
        <v>3</v>
      </c>
      <c r="Q26" s="20">
        <v>108000</v>
      </c>
      <c r="R26" s="27" t="s">
        <v>78</v>
      </c>
    </row>
    <row r="27" spans="2:18" x14ac:dyDescent="0.25">
      <c r="Q27" s="24">
        <f>SUM(Q5:Q26)</f>
        <v>2558000</v>
      </c>
    </row>
    <row r="28" spans="2:18" x14ac:dyDescent="0.25">
      <c r="K28" s="16" t="s">
        <v>108</v>
      </c>
      <c r="L28" s="26"/>
      <c r="M28" s="17"/>
    </row>
    <row r="29" spans="2:18" x14ac:dyDescent="0.25">
      <c r="K29" s="22" t="s">
        <v>105</v>
      </c>
      <c r="L29" s="23" t="s">
        <v>100</v>
      </c>
      <c r="M29" s="22" t="s">
        <v>101</v>
      </c>
      <c r="N29" s="24" t="s">
        <v>102</v>
      </c>
      <c r="O29" s="24" t="s">
        <v>103</v>
      </c>
      <c r="P29" s="25" t="s">
        <v>106</v>
      </c>
      <c r="Q29" s="24" t="s">
        <v>104</v>
      </c>
      <c r="R29" s="28" t="s">
        <v>107</v>
      </c>
    </row>
    <row r="30" spans="2:18" x14ac:dyDescent="0.25">
      <c r="K30" t="s">
        <v>40</v>
      </c>
      <c r="L30" s="12">
        <v>7</v>
      </c>
      <c r="M30" t="s">
        <v>87</v>
      </c>
      <c r="N30" s="3">
        <v>12000</v>
      </c>
      <c r="O30" s="3">
        <f>N30*L30</f>
        <v>84000</v>
      </c>
      <c r="P30">
        <v>3</v>
      </c>
      <c r="Q30" s="18">
        <f>O30*P30</f>
        <v>252000</v>
      </c>
      <c r="R30" s="27" t="s">
        <v>90</v>
      </c>
    </row>
    <row r="31" spans="2:18" x14ac:dyDescent="0.25">
      <c r="K31" t="s">
        <v>41</v>
      </c>
      <c r="L31" s="12">
        <v>3</v>
      </c>
      <c r="M31" t="s">
        <v>87</v>
      </c>
      <c r="N31" s="3">
        <v>11000</v>
      </c>
      <c r="O31" s="3">
        <f t="shared" ref="O31:O38" si="0">N31*L31</f>
        <v>33000</v>
      </c>
      <c r="P31">
        <v>3</v>
      </c>
      <c r="Q31" s="18">
        <f t="shared" ref="Q31:Q38" si="1">O31*P31</f>
        <v>99000</v>
      </c>
      <c r="R31" s="27" t="s">
        <v>91</v>
      </c>
    </row>
    <row r="32" spans="2:18" x14ac:dyDescent="0.25">
      <c r="K32" t="s">
        <v>42</v>
      </c>
      <c r="L32" s="12">
        <v>1</v>
      </c>
      <c r="M32" t="s">
        <v>87</v>
      </c>
      <c r="N32" s="3">
        <v>12000</v>
      </c>
      <c r="O32" s="3">
        <f t="shared" si="0"/>
        <v>12000</v>
      </c>
      <c r="P32">
        <v>3</v>
      </c>
      <c r="Q32" s="18">
        <f t="shared" si="1"/>
        <v>36000</v>
      </c>
      <c r="R32" s="27" t="s">
        <v>80</v>
      </c>
    </row>
    <row r="33" spans="11:18" x14ac:dyDescent="0.25">
      <c r="K33" t="s">
        <v>43</v>
      </c>
      <c r="L33" s="12">
        <v>5</v>
      </c>
      <c r="M33" t="s">
        <v>88</v>
      </c>
      <c r="N33" s="3">
        <v>12000</v>
      </c>
      <c r="O33" s="3">
        <f t="shared" si="0"/>
        <v>60000</v>
      </c>
      <c r="P33">
        <v>3</v>
      </c>
      <c r="Q33" s="18">
        <f t="shared" si="1"/>
        <v>180000</v>
      </c>
      <c r="R33" s="27" t="s">
        <v>92</v>
      </c>
    </row>
    <row r="34" spans="11:18" x14ac:dyDescent="0.25">
      <c r="K34" t="s">
        <v>44</v>
      </c>
      <c r="L34" s="12">
        <v>143</v>
      </c>
      <c r="M34" t="s">
        <v>89</v>
      </c>
      <c r="N34" s="3">
        <v>350</v>
      </c>
      <c r="O34" s="3">
        <f t="shared" si="0"/>
        <v>50050</v>
      </c>
      <c r="P34">
        <v>3</v>
      </c>
      <c r="Q34" s="18">
        <f t="shared" si="1"/>
        <v>150150</v>
      </c>
      <c r="R34" s="27" t="s">
        <v>93</v>
      </c>
    </row>
    <row r="35" spans="11:18" x14ac:dyDescent="0.25">
      <c r="K35" t="s">
        <v>45</v>
      </c>
      <c r="L35" s="12">
        <v>1.8</v>
      </c>
      <c r="M35" t="s">
        <v>20</v>
      </c>
      <c r="N35" s="3">
        <v>8000</v>
      </c>
      <c r="O35" s="3">
        <f t="shared" si="0"/>
        <v>14400</v>
      </c>
      <c r="P35">
        <v>3</v>
      </c>
      <c r="Q35" s="18">
        <f t="shared" si="1"/>
        <v>43200</v>
      </c>
      <c r="R35" s="27" t="s">
        <v>94</v>
      </c>
    </row>
    <row r="36" spans="11:18" x14ac:dyDescent="0.25">
      <c r="K36" t="s">
        <v>48</v>
      </c>
      <c r="L36" s="12">
        <v>0.25</v>
      </c>
      <c r="M36" t="s">
        <v>59</v>
      </c>
      <c r="N36" s="3">
        <v>60000</v>
      </c>
      <c r="O36" s="3">
        <f t="shared" si="0"/>
        <v>15000</v>
      </c>
      <c r="P36">
        <v>3</v>
      </c>
      <c r="Q36" s="18">
        <v>60000</v>
      </c>
      <c r="R36" s="27" t="s">
        <v>80</v>
      </c>
    </row>
    <row r="37" spans="11:18" x14ac:dyDescent="0.25">
      <c r="K37" t="s">
        <v>49</v>
      </c>
      <c r="L37" s="12">
        <v>0.5</v>
      </c>
      <c r="M37" t="s">
        <v>59</v>
      </c>
      <c r="N37" s="3">
        <v>90000</v>
      </c>
      <c r="O37" s="3">
        <f t="shared" si="0"/>
        <v>45000</v>
      </c>
      <c r="P37">
        <v>3</v>
      </c>
      <c r="Q37" s="18">
        <f t="shared" si="1"/>
        <v>135000</v>
      </c>
      <c r="R37" s="27" t="s">
        <v>95</v>
      </c>
    </row>
    <row r="38" spans="11:18" x14ac:dyDescent="0.25">
      <c r="K38" t="s">
        <v>52</v>
      </c>
      <c r="L38" s="12">
        <v>0.25</v>
      </c>
      <c r="M38" t="s">
        <v>59</v>
      </c>
      <c r="N38" s="3">
        <v>24000</v>
      </c>
      <c r="O38" s="3">
        <f t="shared" si="0"/>
        <v>6000</v>
      </c>
      <c r="P38">
        <v>3</v>
      </c>
      <c r="Q38" s="18">
        <f t="shared" si="1"/>
        <v>18000</v>
      </c>
      <c r="R38" s="27" t="s">
        <v>96</v>
      </c>
    </row>
    <row r="39" spans="11:18" x14ac:dyDescent="0.25">
      <c r="Q39" s="24">
        <f>SUM(Q30:Q38)</f>
        <v>973350</v>
      </c>
    </row>
  </sheetData>
  <mergeCells count="15">
    <mergeCell ref="D21:E21"/>
    <mergeCell ref="G21:H21"/>
    <mergeCell ref="D25:E25"/>
    <mergeCell ref="G25:H25"/>
    <mergeCell ref="B4:C4"/>
    <mergeCell ref="G4:H4"/>
    <mergeCell ref="B5:C5"/>
    <mergeCell ref="B6:C6"/>
    <mergeCell ref="C9:H9"/>
    <mergeCell ref="C10:H10"/>
    <mergeCell ref="B2:I2"/>
    <mergeCell ref="B7:I7"/>
    <mergeCell ref="C11:H11"/>
    <mergeCell ref="C12:H12"/>
    <mergeCell ref="C15:H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59250-2357-418B-B6ED-D2CB6BBD1F1B}">
  <dimension ref="B1:V25"/>
  <sheetViews>
    <sheetView workbookViewId="0">
      <selection activeCell="G11" sqref="G11"/>
    </sheetView>
  </sheetViews>
  <sheetFormatPr defaultRowHeight="15" x14ac:dyDescent="0.25"/>
  <cols>
    <col min="1" max="1" width="3" customWidth="1"/>
    <col min="2" max="2" width="23.140625" bestFit="1" customWidth="1"/>
    <col min="3" max="3" width="9.140625" style="12"/>
    <col min="6" max="6" width="24.85546875" customWidth="1"/>
    <col min="7" max="7" width="11.85546875" style="12" bestFit="1" customWidth="1"/>
    <col min="9" max="9" width="16" style="3" bestFit="1" customWidth="1"/>
    <col min="10" max="10" width="11.5703125" style="3" bestFit="1" customWidth="1"/>
    <col min="11" max="11" width="9.140625" style="12"/>
    <col min="12" max="12" width="13.28515625" bestFit="1" customWidth="1"/>
    <col min="13" max="13" width="13.28515625" customWidth="1"/>
    <col min="14" max="14" width="11.28515625" customWidth="1"/>
    <col min="15" max="15" width="15.140625" bestFit="1" customWidth="1"/>
    <col min="18" max="19" width="10.5703125" style="3" bestFit="1" customWidth="1"/>
    <col min="21" max="21" width="11.5703125" bestFit="1" customWidth="1"/>
    <col min="22" max="22" width="11.42578125" bestFit="1" customWidth="1"/>
  </cols>
  <sheetData>
    <row r="1" spans="2:22" x14ac:dyDescent="0.25">
      <c r="B1" t="s">
        <v>22</v>
      </c>
      <c r="L1" s="19">
        <f>SUM(L3:L1048576)</f>
        <v>2558000</v>
      </c>
    </row>
    <row r="2" spans="2:22" x14ac:dyDescent="0.25">
      <c r="C2" s="12" t="s">
        <v>18</v>
      </c>
      <c r="F2" s="16" t="s">
        <v>75</v>
      </c>
      <c r="G2" s="12" t="s">
        <v>100</v>
      </c>
      <c r="H2" t="s">
        <v>101</v>
      </c>
      <c r="I2" s="3" t="s">
        <v>102</v>
      </c>
      <c r="J2" s="3" t="s">
        <v>103</v>
      </c>
      <c r="L2" t="s">
        <v>104</v>
      </c>
      <c r="M2" s="19"/>
      <c r="U2" s="19">
        <f>SUM(U3:U22)</f>
        <v>973350</v>
      </c>
    </row>
    <row r="3" spans="2:22" x14ac:dyDescent="0.25">
      <c r="B3" t="s">
        <v>16</v>
      </c>
      <c r="C3" s="12">
        <v>5</v>
      </c>
      <c r="D3" t="s">
        <v>17</v>
      </c>
      <c r="F3" t="s">
        <v>16</v>
      </c>
      <c r="G3" s="12">
        <v>5</v>
      </c>
      <c r="H3" t="s">
        <v>57</v>
      </c>
      <c r="I3" s="3">
        <v>43000</v>
      </c>
      <c r="J3" s="3">
        <f>I3*G3</f>
        <v>215000</v>
      </c>
      <c r="K3" s="12">
        <v>3</v>
      </c>
      <c r="L3" s="18">
        <v>775000</v>
      </c>
      <c r="M3" s="18" t="s">
        <v>76</v>
      </c>
      <c r="O3" t="s">
        <v>40</v>
      </c>
      <c r="P3">
        <v>7</v>
      </c>
      <c r="Q3" t="s">
        <v>87</v>
      </c>
      <c r="R3" s="3">
        <v>12000</v>
      </c>
      <c r="S3" s="3">
        <f>R3*P3</f>
        <v>84000</v>
      </c>
      <c r="T3">
        <v>3</v>
      </c>
      <c r="U3" s="18">
        <f>S3*T3</f>
        <v>252000</v>
      </c>
      <c r="V3" t="s">
        <v>90</v>
      </c>
    </row>
    <row r="4" spans="2:22" x14ac:dyDescent="0.25">
      <c r="B4" t="s">
        <v>19</v>
      </c>
      <c r="C4" s="12">
        <v>6</v>
      </c>
      <c r="D4" t="s">
        <v>20</v>
      </c>
      <c r="F4" t="s">
        <v>39</v>
      </c>
      <c r="G4" s="12">
        <v>6</v>
      </c>
      <c r="H4" t="s">
        <v>20</v>
      </c>
      <c r="I4" s="3">
        <v>11000</v>
      </c>
      <c r="J4" s="3">
        <f t="shared" ref="J4:J25" si="0">I4*G4</f>
        <v>66000</v>
      </c>
      <c r="K4" s="12">
        <v>3</v>
      </c>
      <c r="L4" s="18">
        <f t="shared" ref="L4:L25" si="1">J4*K4</f>
        <v>198000</v>
      </c>
      <c r="M4" s="18" t="s">
        <v>77</v>
      </c>
      <c r="O4" t="s">
        <v>41</v>
      </c>
      <c r="P4">
        <v>3</v>
      </c>
      <c r="Q4" t="s">
        <v>87</v>
      </c>
      <c r="R4" s="3">
        <v>11000</v>
      </c>
      <c r="S4" s="3">
        <f t="shared" ref="S4:S11" si="2">R4*P4</f>
        <v>33000</v>
      </c>
      <c r="T4">
        <v>3</v>
      </c>
      <c r="U4" s="18">
        <f t="shared" ref="U4:U11" si="3">S4*T4</f>
        <v>99000</v>
      </c>
      <c r="V4" t="s">
        <v>91</v>
      </c>
    </row>
    <row r="5" spans="2:22" x14ac:dyDescent="0.25">
      <c r="B5" t="s">
        <v>21</v>
      </c>
      <c r="C5" s="12">
        <v>1</v>
      </c>
      <c r="D5" t="s">
        <v>20</v>
      </c>
      <c r="F5" t="s">
        <v>46</v>
      </c>
      <c r="G5" s="12">
        <v>1</v>
      </c>
      <c r="H5" t="s">
        <v>58</v>
      </c>
      <c r="I5" s="3">
        <v>13000</v>
      </c>
      <c r="J5" s="3">
        <f t="shared" si="0"/>
        <v>13000</v>
      </c>
      <c r="K5" s="12">
        <v>3</v>
      </c>
      <c r="L5" s="18">
        <f t="shared" si="1"/>
        <v>39000</v>
      </c>
      <c r="M5" s="18" t="s">
        <v>78</v>
      </c>
      <c r="O5" t="s">
        <v>42</v>
      </c>
      <c r="P5">
        <v>1</v>
      </c>
      <c r="Q5" t="s">
        <v>87</v>
      </c>
      <c r="R5" s="3">
        <v>12000</v>
      </c>
      <c r="S5" s="3">
        <f t="shared" si="2"/>
        <v>12000</v>
      </c>
      <c r="T5">
        <v>3</v>
      </c>
      <c r="U5" s="18">
        <f t="shared" si="3"/>
        <v>36000</v>
      </c>
      <c r="V5" t="s">
        <v>80</v>
      </c>
    </row>
    <row r="6" spans="2:22" x14ac:dyDescent="0.25">
      <c r="B6" t="s">
        <v>23</v>
      </c>
      <c r="C6" s="12">
        <v>1</v>
      </c>
      <c r="D6" t="s">
        <v>24</v>
      </c>
      <c r="F6" t="s">
        <v>47</v>
      </c>
      <c r="G6" s="12">
        <v>40</v>
      </c>
      <c r="H6" t="s">
        <v>31</v>
      </c>
      <c r="I6" s="3">
        <v>2500</v>
      </c>
      <c r="J6" s="3">
        <f t="shared" si="0"/>
        <v>100000</v>
      </c>
      <c r="K6" s="12">
        <v>3</v>
      </c>
      <c r="L6" s="18">
        <f t="shared" si="1"/>
        <v>300000</v>
      </c>
      <c r="M6" s="18" t="s">
        <v>79</v>
      </c>
      <c r="O6" t="s">
        <v>43</v>
      </c>
      <c r="P6">
        <v>5</v>
      </c>
      <c r="Q6" t="s">
        <v>88</v>
      </c>
      <c r="R6" s="3">
        <v>12000</v>
      </c>
      <c r="S6" s="3">
        <f t="shared" si="2"/>
        <v>60000</v>
      </c>
      <c r="T6">
        <v>3</v>
      </c>
      <c r="U6" s="18">
        <f t="shared" si="3"/>
        <v>180000</v>
      </c>
      <c r="V6" t="s">
        <v>92</v>
      </c>
    </row>
    <row r="7" spans="2:22" x14ac:dyDescent="0.25">
      <c r="B7" t="s">
        <v>25</v>
      </c>
      <c r="C7" s="12">
        <v>1</v>
      </c>
      <c r="D7" t="s">
        <v>26</v>
      </c>
      <c r="F7" t="s">
        <v>50</v>
      </c>
      <c r="G7" s="12">
        <f>0.25*3</f>
        <v>0.75</v>
      </c>
      <c r="H7" t="s">
        <v>59</v>
      </c>
      <c r="I7" s="3">
        <v>60000</v>
      </c>
      <c r="J7" s="3">
        <f t="shared" si="0"/>
        <v>45000</v>
      </c>
      <c r="K7" s="12">
        <v>3</v>
      </c>
      <c r="L7" s="18">
        <f t="shared" si="1"/>
        <v>135000</v>
      </c>
      <c r="M7" s="18" t="s">
        <v>85</v>
      </c>
      <c r="O7" t="s">
        <v>44</v>
      </c>
      <c r="P7">
        <v>143</v>
      </c>
      <c r="Q7" t="s">
        <v>89</v>
      </c>
      <c r="R7" s="3">
        <v>350</v>
      </c>
      <c r="S7" s="3">
        <f t="shared" si="2"/>
        <v>50050</v>
      </c>
      <c r="T7">
        <v>3</v>
      </c>
      <c r="U7" s="18">
        <f t="shared" si="3"/>
        <v>150150</v>
      </c>
      <c r="V7" t="s">
        <v>93</v>
      </c>
    </row>
    <row r="8" spans="2:22" x14ac:dyDescent="0.25">
      <c r="B8" t="s">
        <v>27</v>
      </c>
      <c r="C8" s="12">
        <v>1</v>
      </c>
      <c r="D8" t="s">
        <v>26</v>
      </c>
      <c r="F8" t="s">
        <v>51</v>
      </c>
      <c r="G8" s="12">
        <v>2</v>
      </c>
      <c r="H8" t="s">
        <v>26</v>
      </c>
      <c r="I8" s="3">
        <v>10000</v>
      </c>
      <c r="J8" s="3">
        <f t="shared" si="0"/>
        <v>20000</v>
      </c>
      <c r="K8" s="12">
        <v>3</v>
      </c>
      <c r="L8" s="18">
        <v>80000</v>
      </c>
      <c r="M8" s="18" t="s">
        <v>81</v>
      </c>
      <c r="O8" t="s">
        <v>45</v>
      </c>
      <c r="P8">
        <v>1.8</v>
      </c>
      <c r="Q8" t="s">
        <v>20</v>
      </c>
      <c r="R8" s="3">
        <v>8000</v>
      </c>
      <c r="S8" s="3">
        <f t="shared" si="2"/>
        <v>14400</v>
      </c>
      <c r="T8">
        <v>3</v>
      </c>
      <c r="U8" s="18">
        <f t="shared" si="3"/>
        <v>43200</v>
      </c>
      <c r="V8" t="s">
        <v>94</v>
      </c>
    </row>
    <row r="9" spans="2:22" x14ac:dyDescent="0.25">
      <c r="B9" t="s">
        <v>28</v>
      </c>
      <c r="C9" s="12">
        <v>1</v>
      </c>
      <c r="D9" t="s">
        <v>20</v>
      </c>
      <c r="F9" t="s">
        <v>53</v>
      </c>
      <c r="G9" s="12">
        <v>1</v>
      </c>
      <c r="H9" t="s">
        <v>20</v>
      </c>
      <c r="I9" s="3">
        <v>10000</v>
      </c>
      <c r="J9" s="3">
        <f t="shared" si="0"/>
        <v>10000</v>
      </c>
      <c r="K9" s="12">
        <v>3</v>
      </c>
      <c r="L9" s="18">
        <f t="shared" si="1"/>
        <v>30000</v>
      </c>
      <c r="M9" s="18" t="s">
        <v>82</v>
      </c>
      <c r="O9" t="s">
        <v>48</v>
      </c>
      <c r="P9">
        <v>0.25</v>
      </c>
      <c r="Q9" t="s">
        <v>59</v>
      </c>
      <c r="R9" s="3">
        <v>60000</v>
      </c>
      <c r="S9" s="3">
        <f t="shared" si="2"/>
        <v>15000</v>
      </c>
      <c r="T9">
        <v>3</v>
      </c>
      <c r="U9" s="18">
        <v>60000</v>
      </c>
      <c r="V9" t="s">
        <v>80</v>
      </c>
    </row>
    <row r="10" spans="2:22" x14ac:dyDescent="0.25">
      <c r="B10" t="s">
        <v>29</v>
      </c>
      <c r="C10" s="12">
        <v>1</v>
      </c>
      <c r="D10" t="s">
        <v>20</v>
      </c>
      <c r="F10" t="s">
        <v>54</v>
      </c>
      <c r="G10" s="12">
        <v>1</v>
      </c>
      <c r="H10" t="s">
        <v>20</v>
      </c>
      <c r="I10" s="3">
        <v>9000</v>
      </c>
      <c r="J10" s="3">
        <f t="shared" si="0"/>
        <v>9000</v>
      </c>
      <c r="K10" s="12">
        <v>3</v>
      </c>
      <c r="L10" s="18">
        <f t="shared" si="1"/>
        <v>27000</v>
      </c>
      <c r="M10" s="18" t="s">
        <v>82</v>
      </c>
      <c r="O10" t="s">
        <v>49</v>
      </c>
      <c r="P10">
        <v>0.5</v>
      </c>
      <c r="Q10" t="s">
        <v>59</v>
      </c>
      <c r="R10" s="3">
        <v>90000</v>
      </c>
      <c r="S10" s="3">
        <f t="shared" si="2"/>
        <v>45000</v>
      </c>
      <c r="T10">
        <v>3</v>
      </c>
      <c r="U10" s="18">
        <f t="shared" si="3"/>
        <v>135000</v>
      </c>
      <c r="V10" t="s">
        <v>95</v>
      </c>
    </row>
    <row r="11" spans="2:22" x14ac:dyDescent="0.25">
      <c r="B11" t="s">
        <v>30</v>
      </c>
      <c r="C11" s="12">
        <v>1</v>
      </c>
      <c r="D11" t="s">
        <v>20</v>
      </c>
      <c r="F11" t="s">
        <v>55</v>
      </c>
      <c r="G11" s="12">
        <v>1</v>
      </c>
      <c r="H11" t="s">
        <v>20</v>
      </c>
      <c r="I11" s="3">
        <v>23000</v>
      </c>
      <c r="J11" s="3">
        <f t="shared" si="0"/>
        <v>23000</v>
      </c>
      <c r="K11" s="12">
        <v>3</v>
      </c>
      <c r="L11" s="18">
        <f t="shared" si="1"/>
        <v>69000</v>
      </c>
      <c r="M11" s="18" t="s">
        <v>82</v>
      </c>
      <c r="O11" t="s">
        <v>52</v>
      </c>
      <c r="P11">
        <v>0.25</v>
      </c>
      <c r="Q11" t="s">
        <v>59</v>
      </c>
      <c r="R11" s="3">
        <v>24000</v>
      </c>
      <c r="S11" s="3">
        <f t="shared" si="2"/>
        <v>6000</v>
      </c>
      <c r="T11">
        <v>3</v>
      </c>
      <c r="U11" s="18">
        <f t="shared" si="3"/>
        <v>18000</v>
      </c>
      <c r="V11" t="s">
        <v>96</v>
      </c>
    </row>
    <row r="12" spans="2:22" x14ac:dyDescent="0.25">
      <c r="B12" t="s">
        <v>32</v>
      </c>
      <c r="C12" s="12">
        <v>3</v>
      </c>
      <c r="D12" t="s">
        <v>31</v>
      </c>
      <c r="F12" t="s">
        <v>56</v>
      </c>
      <c r="G12" s="12">
        <v>3</v>
      </c>
      <c r="H12" t="s">
        <v>72</v>
      </c>
      <c r="I12" s="3">
        <v>27000</v>
      </c>
      <c r="J12" s="3">
        <f t="shared" si="0"/>
        <v>81000</v>
      </c>
      <c r="K12" s="12">
        <v>3</v>
      </c>
      <c r="L12" s="18">
        <f t="shared" si="1"/>
        <v>243000</v>
      </c>
      <c r="M12" s="18" t="s">
        <v>83</v>
      </c>
    </row>
    <row r="13" spans="2:22" x14ac:dyDescent="0.25">
      <c r="B13" t="s">
        <v>33</v>
      </c>
      <c r="C13" s="12">
        <v>3</v>
      </c>
      <c r="D13" t="s">
        <v>31</v>
      </c>
      <c r="F13" t="s">
        <v>60</v>
      </c>
      <c r="G13" s="12">
        <v>1</v>
      </c>
      <c r="H13" t="s">
        <v>24</v>
      </c>
      <c r="I13" s="3">
        <v>11000</v>
      </c>
      <c r="J13" s="3">
        <f t="shared" si="0"/>
        <v>11000</v>
      </c>
      <c r="K13" s="12">
        <v>3</v>
      </c>
      <c r="L13" s="18">
        <f t="shared" si="1"/>
        <v>33000</v>
      </c>
      <c r="M13" s="18" t="s">
        <v>84</v>
      </c>
    </row>
    <row r="14" spans="2:22" x14ac:dyDescent="0.25">
      <c r="B14" t="s">
        <v>34</v>
      </c>
      <c r="C14" s="12">
        <v>1</v>
      </c>
      <c r="D14" t="s">
        <v>31</v>
      </c>
      <c r="F14" t="s">
        <v>61</v>
      </c>
      <c r="G14" s="12">
        <v>1</v>
      </c>
      <c r="H14" t="s">
        <v>31</v>
      </c>
      <c r="I14" s="3">
        <v>5000</v>
      </c>
      <c r="J14" s="3">
        <f t="shared" si="0"/>
        <v>5000</v>
      </c>
      <c r="K14" s="12">
        <v>3</v>
      </c>
      <c r="L14" s="18">
        <f t="shared" si="1"/>
        <v>15000</v>
      </c>
      <c r="M14" s="18" t="s">
        <v>78</v>
      </c>
    </row>
    <row r="15" spans="2:22" x14ac:dyDescent="0.25">
      <c r="B15" t="s">
        <v>35</v>
      </c>
      <c r="C15" s="12">
        <v>1</v>
      </c>
      <c r="D15" t="s">
        <v>24</v>
      </c>
      <c r="F15" t="s">
        <v>62</v>
      </c>
      <c r="G15" s="12">
        <v>1</v>
      </c>
      <c r="H15" t="s">
        <v>70</v>
      </c>
      <c r="I15" s="3">
        <v>11000</v>
      </c>
      <c r="J15" s="3">
        <f t="shared" si="0"/>
        <v>11000</v>
      </c>
      <c r="K15" s="12">
        <v>3</v>
      </c>
      <c r="L15" s="18">
        <f t="shared" si="1"/>
        <v>33000</v>
      </c>
      <c r="M15" s="18" t="s">
        <v>84</v>
      </c>
    </row>
    <row r="16" spans="2:22" x14ac:dyDescent="0.25">
      <c r="B16" t="s">
        <v>36</v>
      </c>
      <c r="C16" s="12">
        <v>1</v>
      </c>
      <c r="D16" t="s">
        <v>24</v>
      </c>
      <c r="F16" t="s">
        <v>63</v>
      </c>
      <c r="G16" s="12">
        <v>1</v>
      </c>
      <c r="H16" t="s">
        <v>73</v>
      </c>
      <c r="I16" s="3">
        <v>13000</v>
      </c>
      <c r="J16" s="3">
        <f t="shared" si="0"/>
        <v>13000</v>
      </c>
      <c r="K16" s="12">
        <v>3</v>
      </c>
      <c r="L16" s="18">
        <f t="shared" si="1"/>
        <v>39000</v>
      </c>
      <c r="M16" s="18" t="s">
        <v>78</v>
      </c>
    </row>
    <row r="17" spans="2:13" x14ac:dyDescent="0.25">
      <c r="B17" t="s">
        <v>37</v>
      </c>
      <c r="C17" s="12">
        <v>3</v>
      </c>
      <c r="D17" t="s">
        <v>38</v>
      </c>
      <c r="F17" t="s">
        <v>64</v>
      </c>
      <c r="G17" s="12">
        <v>1</v>
      </c>
      <c r="H17" t="s">
        <v>24</v>
      </c>
      <c r="I17" s="3">
        <v>11000</v>
      </c>
      <c r="J17" s="3">
        <f t="shared" si="0"/>
        <v>11000</v>
      </c>
      <c r="K17" s="12">
        <v>3</v>
      </c>
      <c r="L17" s="18">
        <f t="shared" si="1"/>
        <v>33000</v>
      </c>
      <c r="M17" s="18" t="s">
        <v>84</v>
      </c>
    </row>
    <row r="18" spans="2:13" x14ac:dyDescent="0.25">
      <c r="F18" t="s">
        <v>65</v>
      </c>
      <c r="G18" s="12">
        <v>1</v>
      </c>
      <c r="H18" t="s">
        <v>24</v>
      </c>
      <c r="I18" s="3">
        <v>11000</v>
      </c>
      <c r="J18" s="3">
        <f t="shared" si="0"/>
        <v>11000</v>
      </c>
      <c r="K18" s="12">
        <v>3</v>
      </c>
      <c r="L18" s="18">
        <f t="shared" si="1"/>
        <v>33000</v>
      </c>
      <c r="M18" s="18" t="s">
        <v>84</v>
      </c>
    </row>
    <row r="19" spans="2:13" x14ac:dyDescent="0.25">
      <c r="F19" t="s">
        <v>66</v>
      </c>
      <c r="G19" s="12">
        <v>1</v>
      </c>
      <c r="H19" t="s">
        <v>24</v>
      </c>
      <c r="I19" s="3">
        <v>18000</v>
      </c>
      <c r="J19" s="3">
        <f t="shared" si="0"/>
        <v>18000</v>
      </c>
      <c r="K19" s="12">
        <v>3</v>
      </c>
      <c r="L19" s="18">
        <f t="shared" si="1"/>
        <v>54000</v>
      </c>
      <c r="M19" s="18" t="s">
        <v>82</v>
      </c>
    </row>
    <row r="20" spans="2:13" x14ac:dyDescent="0.25">
      <c r="F20" t="s">
        <v>67</v>
      </c>
      <c r="G20" s="12">
        <v>1</v>
      </c>
      <c r="H20" t="s">
        <v>20</v>
      </c>
      <c r="I20" s="3">
        <v>55000</v>
      </c>
      <c r="J20" s="3">
        <f t="shared" si="0"/>
        <v>55000</v>
      </c>
      <c r="K20" s="12">
        <v>2</v>
      </c>
      <c r="L20" s="18">
        <f t="shared" si="1"/>
        <v>110000</v>
      </c>
      <c r="M20" s="18" t="s">
        <v>86</v>
      </c>
    </row>
    <row r="21" spans="2:13" x14ac:dyDescent="0.25">
      <c r="F21" t="s">
        <v>74</v>
      </c>
      <c r="G21" s="12">
        <v>1</v>
      </c>
      <c r="H21" t="s">
        <v>20</v>
      </c>
      <c r="I21" s="3">
        <v>8000</v>
      </c>
      <c r="J21" s="3">
        <f t="shared" si="0"/>
        <v>8000</v>
      </c>
      <c r="K21" s="12">
        <v>3</v>
      </c>
      <c r="L21" s="18">
        <f t="shared" si="1"/>
        <v>24000</v>
      </c>
      <c r="M21" s="18" t="s">
        <v>78</v>
      </c>
    </row>
    <row r="22" spans="2:13" x14ac:dyDescent="0.25">
      <c r="F22" t="s">
        <v>71</v>
      </c>
      <c r="G22" s="12">
        <v>3</v>
      </c>
      <c r="H22" t="s">
        <v>31</v>
      </c>
      <c r="I22" s="3">
        <v>12000</v>
      </c>
      <c r="J22" s="3">
        <f t="shared" si="0"/>
        <v>36000</v>
      </c>
      <c r="K22" s="12">
        <v>3</v>
      </c>
      <c r="L22" s="18">
        <f t="shared" si="1"/>
        <v>108000</v>
      </c>
      <c r="M22" s="18" t="s">
        <v>78</v>
      </c>
    </row>
    <row r="23" spans="2:13" x14ac:dyDescent="0.25">
      <c r="F23" t="s">
        <v>68</v>
      </c>
      <c r="G23" s="12">
        <v>3</v>
      </c>
      <c r="H23" t="s">
        <v>31</v>
      </c>
      <c r="I23" s="3">
        <v>8000</v>
      </c>
      <c r="J23" s="3">
        <f t="shared" si="0"/>
        <v>24000</v>
      </c>
      <c r="K23" s="12">
        <v>3</v>
      </c>
      <c r="L23" s="18">
        <f t="shared" si="1"/>
        <v>72000</v>
      </c>
      <c r="M23" s="18" t="s">
        <v>78</v>
      </c>
    </row>
    <row r="24" spans="2:13" x14ac:dyDescent="0.25">
      <c r="F24" t="s">
        <v>69</v>
      </c>
      <c r="G24" s="12">
        <v>3</v>
      </c>
      <c r="I24" s="3">
        <v>12000</v>
      </c>
      <c r="J24" s="3">
        <f t="shared" si="0"/>
        <v>36000</v>
      </c>
      <c r="K24" s="12">
        <v>3</v>
      </c>
      <c r="L24" s="18">
        <f t="shared" si="1"/>
        <v>108000</v>
      </c>
      <c r="M24" s="18" t="s">
        <v>78</v>
      </c>
    </row>
    <row r="25" spans="2:13" x14ac:dyDescent="0.25">
      <c r="J25" s="3">
        <f t="shared" si="0"/>
        <v>0</v>
      </c>
      <c r="L25" s="18">
        <f t="shared" si="1"/>
        <v>0</v>
      </c>
      <c r="M25" s="1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82EBB-E5D6-43A9-BAB4-8DD709353886}">
  <dimension ref="B2:F22"/>
  <sheetViews>
    <sheetView workbookViewId="0">
      <selection activeCell="H13" sqref="H13"/>
    </sheetView>
  </sheetViews>
  <sheetFormatPr defaultRowHeight="15" x14ac:dyDescent="0.25"/>
  <cols>
    <col min="3" max="3" width="25.28515625" customWidth="1"/>
  </cols>
  <sheetData>
    <row r="2" spans="2:6" x14ac:dyDescent="0.25">
      <c r="B2" t="s">
        <v>139</v>
      </c>
      <c r="C2" t="s">
        <v>140</v>
      </c>
      <c r="D2" t="s">
        <v>141</v>
      </c>
      <c r="E2" t="s">
        <v>142</v>
      </c>
      <c r="F2" t="s">
        <v>8</v>
      </c>
    </row>
    <row r="3" spans="2:6" x14ac:dyDescent="0.25">
      <c r="B3">
        <v>1</v>
      </c>
      <c r="C3" t="s">
        <v>151</v>
      </c>
      <c r="D3">
        <v>9</v>
      </c>
      <c r="E3">
        <v>10</v>
      </c>
      <c r="F3">
        <v>90</v>
      </c>
    </row>
    <row r="4" spans="2:6" x14ac:dyDescent="0.25">
      <c r="B4">
        <v>2</v>
      </c>
      <c r="C4" t="s">
        <v>150</v>
      </c>
      <c r="D4" s="43">
        <v>3.9</v>
      </c>
      <c r="E4">
        <v>8</v>
      </c>
      <c r="F4">
        <v>31.6</v>
      </c>
    </row>
    <row r="5" spans="2:6" x14ac:dyDescent="0.25">
      <c r="B5">
        <v>3</v>
      </c>
      <c r="C5" t="s">
        <v>125</v>
      </c>
      <c r="D5" s="43" t="s">
        <v>149</v>
      </c>
      <c r="E5">
        <v>8</v>
      </c>
      <c r="F5">
        <v>16</v>
      </c>
    </row>
    <row r="6" spans="2:6" x14ac:dyDescent="0.25">
      <c r="B6">
        <v>4</v>
      </c>
      <c r="C6" t="s">
        <v>152</v>
      </c>
      <c r="D6">
        <v>5</v>
      </c>
      <c r="E6">
        <v>5</v>
      </c>
      <c r="F6">
        <v>25</v>
      </c>
    </row>
    <row r="7" spans="2:6" x14ac:dyDescent="0.25">
      <c r="B7">
        <v>5</v>
      </c>
      <c r="C7" t="s">
        <v>145</v>
      </c>
      <c r="D7" s="43">
        <v>8</v>
      </c>
      <c r="E7">
        <v>10</v>
      </c>
      <c r="F7">
        <v>80</v>
      </c>
    </row>
    <row r="8" spans="2:6" x14ac:dyDescent="0.25">
      <c r="B8">
        <v>6</v>
      </c>
      <c r="C8" t="s">
        <v>118</v>
      </c>
      <c r="D8">
        <v>4</v>
      </c>
      <c r="E8">
        <v>11</v>
      </c>
      <c r="F8">
        <v>44</v>
      </c>
    </row>
    <row r="9" spans="2:6" x14ac:dyDescent="0.25">
      <c r="B9">
        <v>7</v>
      </c>
      <c r="C9" t="s">
        <v>153</v>
      </c>
      <c r="D9" s="43">
        <v>1</v>
      </c>
      <c r="E9">
        <v>13</v>
      </c>
      <c r="F9">
        <v>13</v>
      </c>
    </row>
    <row r="10" spans="2:6" x14ac:dyDescent="0.25">
      <c r="B10">
        <v>8</v>
      </c>
      <c r="C10" t="s">
        <v>147</v>
      </c>
      <c r="D10" s="43">
        <v>46024</v>
      </c>
      <c r="E10">
        <v>92</v>
      </c>
      <c r="F10">
        <v>46</v>
      </c>
    </row>
    <row r="11" spans="2:6" x14ac:dyDescent="0.25">
      <c r="B11">
        <v>9</v>
      </c>
      <c r="C11" t="s">
        <v>148</v>
      </c>
      <c r="D11">
        <v>1</v>
      </c>
      <c r="E11">
        <v>11</v>
      </c>
      <c r="F11">
        <v>11</v>
      </c>
    </row>
    <row r="12" spans="2:6" x14ac:dyDescent="0.25">
      <c r="B12">
        <v>10</v>
      </c>
      <c r="C12" t="s">
        <v>121</v>
      </c>
      <c r="D12">
        <v>5</v>
      </c>
      <c r="E12">
        <v>10</v>
      </c>
      <c r="F12">
        <v>50</v>
      </c>
    </row>
    <row r="13" spans="2:6" x14ac:dyDescent="0.25">
      <c r="B13">
        <v>11</v>
      </c>
      <c r="C13" t="s">
        <v>154</v>
      </c>
      <c r="D13">
        <v>30</v>
      </c>
      <c r="E13" t="s">
        <v>144</v>
      </c>
      <c r="F13">
        <v>30</v>
      </c>
    </row>
    <row r="14" spans="2:6" x14ac:dyDescent="0.25">
      <c r="B14">
        <v>12</v>
      </c>
      <c r="C14" t="s">
        <v>143</v>
      </c>
      <c r="D14" t="s">
        <v>144</v>
      </c>
      <c r="E14" t="s">
        <v>144</v>
      </c>
      <c r="F14">
        <v>3</v>
      </c>
    </row>
    <row r="15" spans="2:6" x14ac:dyDescent="0.25">
      <c r="B15">
        <v>13</v>
      </c>
      <c r="C15" t="s">
        <v>146</v>
      </c>
      <c r="D15" t="s">
        <v>144</v>
      </c>
      <c r="E15" t="s">
        <v>144</v>
      </c>
      <c r="F15">
        <v>20</v>
      </c>
    </row>
    <row r="16" spans="2:6" x14ac:dyDescent="0.25">
      <c r="B16">
        <v>14</v>
      </c>
      <c r="C16" t="s">
        <v>155</v>
      </c>
      <c r="D16">
        <v>3</v>
      </c>
      <c r="E16">
        <v>13</v>
      </c>
      <c r="F16">
        <v>39</v>
      </c>
    </row>
    <row r="17" spans="2:6" x14ac:dyDescent="0.25">
      <c r="B17">
        <v>15</v>
      </c>
      <c r="C17" t="s">
        <v>156</v>
      </c>
      <c r="D17">
        <v>3</v>
      </c>
      <c r="E17">
        <v>17</v>
      </c>
      <c r="F17">
        <v>51</v>
      </c>
    </row>
    <row r="18" spans="2:6" x14ac:dyDescent="0.25">
      <c r="B18">
        <v>16</v>
      </c>
      <c r="C18" t="s">
        <v>157</v>
      </c>
      <c r="D18">
        <v>3</v>
      </c>
      <c r="E18">
        <v>10</v>
      </c>
      <c r="F18">
        <v>30</v>
      </c>
    </row>
    <row r="19" spans="2:6" x14ac:dyDescent="0.25">
      <c r="B19">
        <v>17</v>
      </c>
      <c r="C19" t="s">
        <v>156</v>
      </c>
      <c r="D19">
        <v>3</v>
      </c>
      <c r="E19">
        <v>13</v>
      </c>
      <c r="F19">
        <v>39</v>
      </c>
    </row>
    <row r="22" spans="2:6" x14ac:dyDescent="0.25">
      <c r="D22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form permintaan dana goban</vt:lpstr>
      <vt:lpstr>form permintaan dana goban (2)</vt:lpstr>
      <vt:lpstr>tgl 22</vt:lpstr>
      <vt:lpstr>tgl 23	</vt:lpstr>
      <vt:lpstr>tgl 24</vt:lpstr>
      <vt:lpstr>tgl 25</vt:lpstr>
      <vt:lpstr>tgl27-28</vt:lpstr>
      <vt:lpstr>tgl 29</vt:lpstr>
      <vt:lpstr>tgl 30</vt:lpstr>
      <vt:lpstr>Sheet3</vt:lpstr>
      <vt:lpstr>3 apr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DPK Apparel</dc:creator>
  <cp:lastModifiedBy>Jazzy</cp:lastModifiedBy>
  <dcterms:created xsi:type="dcterms:W3CDTF">2026-04-06T04:43:32Z</dcterms:created>
  <dcterms:modified xsi:type="dcterms:W3CDTF">2026-05-05T07:17:55Z</dcterms:modified>
</cp:coreProperties>
</file>